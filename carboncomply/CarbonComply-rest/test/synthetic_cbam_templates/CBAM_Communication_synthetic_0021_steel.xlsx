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45292</v>
      </c>
      <c r="J9" s="1211" t="n"/>
      <c r="K9" s="176">
        <f>Translations!$B$69</f>
        <v/>
      </c>
      <c r="L9" s="1068" t="n">
        <v>45657</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Jamshedpur Steel Plant 21</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Jamshedpur Steel Plant 21</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Steel Way, 139</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522224</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GGE</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Jamshedpur</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India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INCOP</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-11.6220636°</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-62.1037946°</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Igor Sharma</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igor.sharma@example-steel.com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+76 891064813</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Jamshedpur Steel Plant 21</t>
        </is>
      </c>
      <c r="H12" s="816" t="inlineStr">
        <is>
          <t>G1</t>
        </is>
      </c>
      <c r="I12" s="643" t="inlineStr">
        <is>
          <t>DRI</t>
        </is>
      </c>
      <c r="J12" s="1087" t="n"/>
      <c r="K12" s="1087" t="n"/>
      <c r="L12" s="1087" t="n"/>
      <c r="M12" s="1087" t="n"/>
      <c r="N12" s="1087" t="n"/>
      <c r="O12" s="1087" t="n"/>
      <c r="P12" s="817" t="inlineStr">
        <is>
          <t>P1</t>
        </is>
      </c>
      <c r="Q12" s="643" t="inlineStr">
        <is>
          <t>Electric arc furnace</t>
        </is>
      </c>
      <c r="R12" s="643" t="inlineStr">
        <is>
          <t>Pig iron</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Steel Way, 139</t>
        </is>
      </c>
      <c r="H13" s="816" t="inlineStr">
        <is>
          <t>G2</t>
        </is>
      </c>
      <c r="I13" s="644" t="n"/>
      <c r="J13" s="1089" t="n"/>
      <c r="K13" s="1089" t="n"/>
      <c r="L13" s="1089" t="n"/>
      <c r="M13" s="1089" t="n"/>
      <c r="N13" s="1089" t="n"/>
      <c r="O13" s="1089" t="n"/>
      <c r="P13" s="817" t="inlineStr">
        <is>
          <t>P2</t>
        </is>
      </c>
      <c r="Q13" s="644" t="inlineStr">
        <is>
          <t>Blast furnace route</t>
        </is>
      </c>
      <c r="R13" s="644" t="inlineStr">
        <is>
          <t>Pig iron</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5398102.414</v>
      </c>
      <c r="AA13" s="1203" t="n"/>
      <c r="AB13" s="1191" t="n">
        <v>56891.776</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5398102.414</v>
      </c>
      <c r="AY15" s="242" t="n"/>
      <c r="AZ15" s="242" t="n"/>
      <c r="BA15" s="242" t="n"/>
      <c r="BB15" s="138" t="n"/>
      <c r="BC15" s="140" t="n"/>
      <c r="BD15" s="737" t="n"/>
      <c r="BE15" s="737" t="n"/>
      <c r="BF15" s="737" t="n"/>
    </row>
    <row r="16" ht="12.75" customHeight="1">
      <c r="C16" s="16" t="n"/>
      <c r="D16" s="167">
        <f>Translations!$C$80</f>
        <v/>
      </c>
      <c r="E16" s="167" t="n"/>
      <c r="F16" s="819" t="n"/>
      <c r="G16" s="644" t="inlineStr">
        <is>
          <t>IN</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806949.514</v>
      </c>
      <c r="AY16" s="242" t="n"/>
      <c r="AZ16" s="242" t="n"/>
      <c r="BA16" s="242" t="n"/>
      <c r="BB16" s="138" t="n"/>
      <c r="BC16" s="140" t="n"/>
      <c r="BD16" s="737" t="n"/>
      <c r="BE16" s="737" t="n"/>
      <c r="BF16" s="737" t="n"/>
    </row>
    <row r="17" ht="12.75" customHeight="1">
      <c r="C17" s="16" t="n"/>
      <c r="D17" s="167">
        <f>Translations!$C$81</f>
        <v/>
      </c>
      <c r="E17" s="167" t="n"/>
      <c r="F17" s="819" t="n"/>
      <c r="G17" s="644" t="inlineStr">
        <is>
          <t>INCOP</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6205051.928</v>
      </c>
      <c r="AY17" s="242" t="n"/>
      <c r="AZ17" s="242" t="n"/>
      <c r="BA17" s="242" t="n"/>
      <c r="BB17" s="138" t="n"/>
      <c r="BC17" s="140" t="n"/>
      <c r="BD17" s="737" t="n"/>
      <c r="BE17" s="737" t="n"/>
      <c r="BF17" s="737" t="n"/>
    </row>
    <row r="18" ht="12.75" customHeight="1">
      <c r="C18" s="16" t="n"/>
      <c r="D18" s="167">
        <f>Translations!$C$82</f>
        <v/>
      </c>
      <c r="E18" s="167" t="n"/>
      <c r="F18" s="819" t="n"/>
      <c r="G18" s="644" t="inlineStr">
        <is>
          <t>-11.6220636°</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-62.1037946°</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Based on continuous emissions monitoring systems (CEMS)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45292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45657</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Third-party verification performed annually</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Blast furnace route</t>
        </is>
      </c>
      <c r="E26" s="643" t="inlineStr">
        <is>
          <t>Pig iron</t>
        </is>
      </c>
      <c r="F26" s="835" t="inlineStr">
        <is>
          <t>72122000</t>
        </is>
      </c>
      <c r="G26" s="1087" t="inlineStr">
        <is>
          <t>Flat-rolled products of iron or non-alloy steel, of a width of &lt; 600 mm, electrolytically plated or coated with zinc</t>
        </is>
      </c>
      <c r="H26" s="1087" t="inlineStr">
        <is>
          <t>Example product A (batch 21)</t>
        </is>
      </c>
      <c r="I26" s="1309" t="n">
        <v>2.272403</v>
      </c>
      <c r="J26" s="1309" t="n">
        <v>0.485208</v>
      </c>
      <c r="K26" s="1309" t="n">
        <v>2.757611</v>
      </c>
      <c r="L26" s="1309" t="inlineStr">
        <is>
          <t>tCO2e/t</t>
        </is>
      </c>
      <c r="M26" s="837" t="n">
        <v>0.2613</v>
      </c>
      <c r="N26" s="1309" t="inlineStr">
        <is>
          <t>PPA-specific factor</t>
        </is>
      </c>
      <c r="O26" s="1309" t="n">
        <v>1.98936</v>
      </c>
      <c r="P26" s="421" t="n"/>
      <c r="Q26" s="421" t="n"/>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Fuel levy</t>
        </is>
      </c>
      <c r="AM26" s="838" t="n">
        <v>0.1036</v>
      </c>
      <c r="AN26" s="1304" t="n">
        <v>1.256204</v>
      </c>
      <c r="AO26" s="1305" t="inlineStr">
        <is>
          <t>tCO2e/t</t>
        </is>
      </c>
      <c r="AP26" s="421" t="inlineStr">
        <is>
          <t>THB</t>
        </is>
      </c>
      <c r="AQ26" s="775" t="n">
        <v>86.92</v>
      </c>
      <c r="AR26" s="501" t="inlineStr">
        <is>
          <t>THB/t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Blast furnace route</t>
        </is>
      </c>
      <c r="E27" s="644" t="inlineStr">
        <is>
          <t>Crude steel</t>
        </is>
      </c>
      <c r="F27" s="839" t="inlineStr">
        <is>
          <t>72081000</t>
        </is>
      </c>
      <c r="G27" s="1089" t="inlineStr">
        <is>
          <t>Flat-rolled products of iron or non-alloy steel, of a width of &gt;= 600 mm, in coils, simply hot-rolled</t>
        </is>
      </c>
      <c r="H27" s="1089" t="inlineStr">
        <is>
          <t>Example product B (batch 21)</t>
        </is>
      </c>
      <c r="I27" s="1310" t="n">
        <v>1.162362</v>
      </c>
      <c r="J27" s="1310" t="n">
        <v>0.174991</v>
      </c>
      <c r="K27" s="1310" t="n">
        <v>1.337353</v>
      </c>
      <c r="L27" s="1310" t="inlineStr">
        <is>
          <t>tCO2e/t</t>
        </is>
      </c>
      <c r="M27" s="841" t="n">
        <v>0.0531</v>
      </c>
      <c r="N27" s="1310" t="inlineStr">
        <is>
          <t>D.4(a)</t>
        </is>
      </c>
      <c r="O27" s="1310" t="n">
        <v>0.27559</v>
      </c>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Carbon tax and ETS</t>
        </is>
      </c>
      <c r="AM27" s="842" t="n">
        <v>0.3611</v>
      </c>
      <c r="AN27" s="1306" t="n">
        <v>1.240357</v>
      </c>
      <c r="AO27" s="788" t="inlineStr">
        <is>
          <t>tCO2e/t</t>
        </is>
      </c>
      <c r="AP27" s="427" t="inlineStr">
        <is>
          <t>THB</t>
        </is>
      </c>
      <c r="AQ27" s="792" t="n">
        <v>23.05</v>
      </c>
      <c r="AR27" s="788" t="inlineStr">
        <is>
          <t>THB/t</t>
        </is>
      </c>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Electric arc furnace</t>
        </is>
      </c>
      <c r="E28" s="644" t="inlineStr">
        <is>
          <t>DRI</t>
        </is>
      </c>
      <c r="F28" s="839" t="inlineStr">
        <is>
          <t>73181900</t>
        </is>
      </c>
      <c r="G28" s="1089" t="inlineStr">
        <is>
          <t>Threaded articles of iron or steel, other than screws, bolts, nuts and coach screws</t>
        </is>
      </c>
      <c r="H28" s="1089" t="inlineStr">
        <is>
          <t>Example product C (batch 21)</t>
        </is>
      </c>
      <c r="I28" s="1310" t="n">
        <v>1.008533</v>
      </c>
      <c r="J28" s="1310" t="n">
        <v>0.093468</v>
      </c>
      <c r="K28" s="1310" t="n">
        <v>1.102001</v>
      </c>
      <c r="L28" s="1310" t="inlineStr">
        <is>
          <t>tCO2e/t</t>
        </is>
      </c>
      <c r="M28" s="841" t="n">
        <v>0.0474</v>
      </c>
      <c r="N28" s="1310" t="inlineStr">
        <is>
          <t>PPA-specific factor</t>
        </is>
      </c>
      <c r="O28" s="1310" t="n">
        <v>1.06871</v>
      </c>
      <c r="P28" s="427" t="n"/>
      <c r="Q28" s="427" t="inlineStr">
        <is>
          <t>685593</t>
        </is>
      </c>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Fuel levy</t>
        </is>
      </c>
      <c r="AM28" s="842" t="n">
        <v>0.1568</v>
      </c>
      <c r="AN28" s="1306" t="n">
        <v>0.8268180000000001</v>
      </c>
      <c r="AO28" s="788" t="inlineStr">
        <is>
          <t>tCO2e/t</t>
        </is>
      </c>
      <c r="AP28" s="427" t="inlineStr">
        <is>
          <t>THB</t>
        </is>
      </c>
      <c r="AQ28" s="792" t="n">
        <v>99.88</v>
      </c>
      <c r="AR28" s="788" t="inlineStr">
        <is>
          <t>THB/t</t>
        </is>
      </c>
      <c r="AS28" s="644" t="inlineStr">
        <is>
          <t>Sector-specific reduction</t>
        </is>
      </c>
      <c r="AT28" s="842" t="n">
        <v>0.2489</v>
      </c>
      <c r="AU28" s="1306" t="n">
        <v>0.590973</v>
      </c>
      <c r="AV28" s="788" t="inlineStr">
        <is>
          <t>tCO2e/t</t>
        </is>
      </c>
      <c r="AW28" s="792" t="n">
        <v>14.14</v>
      </c>
      <c r="AX28" s="788" t="inlineStr">
        <is>
          <t>THB/t</t>
        </is>
      </c>
      <c r="AY28" s="792" t="n">
        <v>85.73999999999999</v>
      </c>
      <c r="AZ28" s="793" t="inlineStr">
        <is>
          <t>THB/t</t>
        </is>
      </c>
      <c r="BC28" s="140" t="n"/>
      <c r="BD28" s="140" t="n"/>
      <c r="BE28" s="140" t="n"/>
      <c r="BF28" s="140" t="n"/>
    </row>
    <row r="29" ht="12.75" customHeight="1">
      <c r="B29" s="738" t="n"/>
      <c r="C29" s="834" t="n">
        <v>4</v>
      </c>
      <c r="D29" s="1089" t="inlineStr">
        <is>
          <t>Blast furnace route</t>
        </is>
      </c>
      <c r="E29" s="644" t="inlineStr">
        <is>
          <t>DRI</t>
        </is>
      </c>
      <c r="F29" s="839" t="inlineStr">
        <is>
          <t>72031000</t>
        </is>
      </c>
      <c r="G29" s="1089" t="inlineStr">
        <is>
          <t>Ferrous products obtained by direct reduction of iron ore</t>
        </is>
      </c>
      <c r="H29" s="1089" t="inlineStr">
        <is>
          <t>Example product D (batch 21)</t>
        </is>
      </c>
      <c r="I29" s="1310" t="n">
        <v>0.883093</v>
      </c>
      <c r="J29" s="1310" t="n">
        <v>0.283492</v>
      </c>
      <c r="K29" s="1310" t="n">
        <v>1.166585</v>
      </c>
      <c r="L29" s="1310" t="inlineStr">
        <is>
          <t>tCO2e/t</t>
        </is>
      </c>
      <c r="M29" s="841" t="n">
        <v>0.2334</v>
      </c>
      <c r="N29" s="1310" t="inlineStr">
        <is>
          <t>D.4(a)</t>
        </is>
      </c>
      <c r="O29" s="1310" t="n">
        <v>1.17099</v>
      </c>
      <c r="P29" s="427" t="n"/>
      <c r="Q29" s="427" t="inlineStr">
        <is>
          <t>987156</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2026-09-13T17:35:10Z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