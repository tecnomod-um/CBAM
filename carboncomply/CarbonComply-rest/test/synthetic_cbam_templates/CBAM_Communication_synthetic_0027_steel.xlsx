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44927</v>
      </c>
      <c r="J9" s="1211" t="n"/>
      <c r="K9" s="176">
        <f>Translations!$B$69</f>
        <v/>
      </c>
      <c r="L9" s="1068" t="n">
        <v>45291</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Porto Alegre Steel Plant 27</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Porto Alegre Steel Plant 27</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Steel Way, 204</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Iron &amp; steel production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892526</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JLH</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Porto Alegre</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Brazil</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BRQGB</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17.0722197°</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-102.8593356°</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Kenji Sharma</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kenji.sharma@example-steel.com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+75 595515946</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Porto Alegre Steel Plant 27</t>
        </is>
      </c>
      <c r="H12" s="816" t="inlineStr">
        <is>
          <t>G1</t>
        </is>
      </c>
      <c r="I12" s="643" t="inlineStr">
        <is>
          <t>Crude steel</t>
        </is>
      </c>
      <c r="J12" s="1087" t="n"/>
      <c r="K12" s="1087" t="n"/>
      <c r="L12" s="1087" t="n"/>
      <c r="M12" s="1087" t="n"/>
      <c r="N12" s="1087" t="n"/>
      <c r="O12" s="1087" t="n"/>
      <c r="P12" s="817" t="inlineStr">
        <is>
          <t>P1</t>
        </is>
      </c>
      <c r="Q12" s="643" t="inlineStr">
        <is>
          <t>Other process</t>
        </is>
      </c>
      <c r="R12" s="643" t="inlineStr">
        <is>
          <t>Pig iron</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Steel Way, 204</t>
        </is>
      </c>
      <c r="H13" s="816" t="inlineStr">
        <is>
          <t>G2</t>
        </is>
      </c>
      <c r="I13" s="644" t="inlineStr">
        <is>
          <t>Pig iron</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Electric arc furnace</t>
        </is>
      </c>
      <c r="R13" s="644" t="inlineStr">
        <is>
          <t>DRI</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1711815.11</v>
      </c>
      <c r="AA13" s="1203" t="n"/>
      <c r="AB13" s="1191" t="n">
        <v>68512.11199999999</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Iron &amp; steel production</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1711815.11</v>
      </c>
      <c r="AY15" s="242" t="n"/>
      <c r="AZ15" s="242" t="n"/>
      <c r="BA15" s="242" t="n"/>
      <c r="BB15" s="138" t="n"/>
      <c r="BC15" s="140" t="n"/>
      <c r="BD15" s="737" t="n"/>
      <c r="BE15" s="737" t="n"/>
      <c r="BF15" s="737" t="n"/>
    </row>
    <row r="16" ht="12.75" customHeight="1">
      <c r="C16" s="16" t="n"/>
      <c r="D16" s="167">
        <f>Translations!$C$80</f>
        <v/>
      </c>
      <c r="E16" s="167" t="n"/>
      <c r="F16" s="819" t="n"/>
      <c r="G16" s="644" t="inlineStr">
        <is>
          <t>BR</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1079639.732</v>
      </c>
      <c r="AY16" s="242" t="n"/>
      <c r="AZ16" s="242" t="n"/>
      <c r="BA16" s="242" t="n"/>
      <c r="BB16" s="138" t="n"/>
      <c r="BC16" s="140" t="n"/>
      <c r="BD16" s="737" t="n"/>
      <c r="BE16" s="737" t="n"/>
      <c r="BF16" s="737" t="n"/>
    </row>
    <row r="17" ht="12.75" customHeight="1">
      <c r="C17" s="16" t="n"/>
      <c r="D17" s="167">
        <f>Translations!$C$81</f>
        <v/>
      </c>
      <c r="E17" s="167" t="n"/>
      <c r="F17" s="819" t="n"/>
      <c r="G17" s="644" t="inlineStr">
        <is>
          <t>BRQGB</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2791454.842</v>
      </c>
      <c r="AY17" s="242" t="n"/>
      <c r="AZ17" s="242" t="n"/>
      <c r="BA17" s="242" t="n"/>
      <c r="BB17" s="138" t="n"/>
      <c r="BC17" s="140" t="n"/>
      <c r="BD17" s="737" t="n"/>
      <c r="BE17" s="737" t="n"/>
      <c r="BF17" s="737" t="n"/>
    </row>
    <row r="18" ht="12.75" customHeight="1">
      <c r="C18" s="16" t="n"/>
      <c r="D18" s="167">
        <f>Translations!$C$82</f>
        <v/>
      </c>
      <c r="E18" s="167" t="n"/>
      <c r="F18" s="819" t="n"/>
      <c r="G18" s="644" t="inlineStr">
        <is>
          <t>17.0722197°</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-102.8593356°</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national standard factors for e.g. the emission factor</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44927</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45291</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Internal audits</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Electric arc furnace</t>
        </is>
      </c>
      <c r="E26" s="643" t="inlineStr">
        <is>
          <t>Sintered ore</t>
        </is>
      </c>
      <c r="F26" s="835" t="inlineStr">
        <is>
          <t>72071190</t>
        </is>
      </c>
      <c r="G26" s="1087" t="inlineStr">
        <is>
          <t>Semi-finished products of iron or non-alloy steel, containing &lt; 0,25% carbon, other than of rectangular cross-section</t>
        </is>
      </c>
      <c r="H26" s="1087" t="inlineStr">
        <is>
          <t>Example product A (batch 27)</t>
        </is>
      </c>
      <c r="I26" s="1309" t="n">
        <v>2.038555</v>
      </c>
      <c r="J26" s="1309" t="n">
        <v>0.470415</v>
      </c>
      <c r="K26" s="1309" t="n">
        <v>2.50897</v>
      </c>
      <c r="L26" s="1309" t="inlineStr">
        <is>
          <t>tCO2e/t</t>
        </is>
      </c>
      <c r="M26" s="837" t="n">
        <v>0.2373</v>
      </c>
      <c r="N26" s="1309" t="inlineStr">
        <is>
          <t>Grid average factor</t>
        </is>
      </c>
      <c r="O26" s="1309" t="n">
        <v>1.64498</v>
      </c>
      <c r="P26" s="421" t="n"/>
      <c r="Q26" s="421" t="inlineStr">
        <is>
          <t>331829</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n"/>
      <c r="AM26" s="838" t="n"/>
      <c r="AN26" s="1304" t="n"/>
      <c r="AO26" s="1305" t="n"/>
      <c r="AP26" s="421" t="n"/>
      <c r="AQ26" s="775" t="n"/>
      <c r="AR26" s="501" t="n"/>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Electric arc furnace</t>
        </is>
      </c>
      <c r="E27" s="644" t="inlineStr">
        <is>
          <t>Sintered ore</t>
        </is>
      </c>
      <c r="F27" s="839" t="inlineStr">
        <is>
          <t>72031000</t>
        </is>
      </c>
      <c r="G27" s="1089" t="inlineStr">
        <is>
          <t>Ferrous products obtained by direct reduction of iron ore</t>
        </is>
      </c>
      <c r="H27" s="1089" t="inlineStr">
        <is>
          <t>Example product B (batch 27)</t>
        </is>
      </c>
      <c r="I27" s="1310" t="n">
        <v>0.575376</v>
      </c>
      <c r="J27" s="1310" t="n">
        <v>0.369094</v>
      </c>
      <c r="K27" s="1310" t="n">
        <v>0.94447</v>
      </c>
      <c r="L27" s="1310" t="inlineStr">
        <is>
          <t>tCO2e/t</t>
        </is>
      </c>
      <c r="M27" s="841" t="n">
        <v>0.01</v>
      </c>
      <c r="N27" s="1310" t="inlineStr">
        <is>
          <t>D.4(c)</t>
        </is>
      </c>
      <c r="O27" s="1310" t="n">
        <v>0.3079</v>
      </c>
      <c r="P27" s="427" t="n"/>
      <c r="Q27" s="427" t="inlineStr">
        <is>
          <t>902453</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Fuel levy</t>
        </is>
      </c>
      <c r="AM27" s="842" t="n">
        <v>0.3395</v>
      </c>
      <c r="AN27" s="1306" t="n">
        <v>0.268497</v>
      </c>
      <c r="AO27" s="788" t="inlineStr">
        <is>
          <t>tCO2e/t</t>
        </is>
      </c>
      <c r="AP27" s="427" t="inlineStr">
        <is>
          <t>COP</t>
        </is>
      </c>
      <c r="AQ27" s="792" t="n">
        <v>83.65000000000001</v>
      </c>
      <c r="AR27" s="788" t="inlineStr">
        <is>
          <t>COP/t</t>
        </is>
      </c>
      <c r="AS27" s="644" t="inlineStr">
        <is>
          <t>Partial exemption</t>
        </is>
      </c>
      <c r="AT27" s="842" t="n">
        <v>0.5214</v>
      </c>
      <c r="AU27" s="1306" t="n">
        <v>0.040019</v>
      </c>
      <c r="AV27" s="788" t="inlineStr">
        <is>
          <t>tCO2e/t</t>
        </is>
      </c>
      <c r="AW27" s="792" t="n">
        <v>38.99</v>
      </c>
      <c r="AX27" s="788" t="inlineStr">
        <is>
          <t>COP/t</t>
        </is>
      </c>
      <c r="AY27" s="792" t="n">
        <v>44.66</v>
      </c>
      <c r="AZ27" s="793" t="inlineStr">
        <is>
          <t>COP/t</t>
        </is>
      </c>
      <c r="BC27" s="140" t="n"/>
      <c r="BD27" s="140" t="n"/>
      <c r="BE27" s="140" t="n"/>
      <c r="BF27" s="140" t="n"/>
    </row>
    <row r="28" ht="12.75" customHeight="1">
      <c r="B28" s="738" t="n"/>
      <c r="C28" s="834" t="n"/>
      <c r="D28" s="1089" t="n"/>
      <c r="E28" s="644" t="n"/>
      <c r="F28" s="839" t="n"/>
      <c r="G28" s="1089" t="n"/>
      <c r="H28" s="1089" t="n"/>
      <c r="I28" s="1310" t="n"/>
      <c r="J28" s="1310" t="n"/>
      <c r="K28" s="1310" t="n"/>
      <c r="L28" s="1310" t="n"/>
      <c r="M28" s="841" t="n"/>
      <c r="N28" s="1310" t="n"/>
      <c r="O28" s="1310" t="n"/>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n"/>
      <c r="AM28" s="842" t="n"/>
      <c r="AN28" s="1306" t="n"/>
      <c r="AO28" s="788" t="n"/>
      <c r="AP28" s="427" t="n"/>
      <c r="AQ28" s="792" t="n"/>
      <c r="AR28" s="788" t="n"/>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2026-09-13T17:35:31Z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