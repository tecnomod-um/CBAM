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Ulsan Steel Plant 30</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Ulsan Steel Plant 30</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Works Street, 68</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994745</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DNY</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Ulsan</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South Korea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KRSGT</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12.1993744°</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160.6307666°</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Maria Hassan</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maria.hassan@example-steel.com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+54 419765114</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Ulsan Steel Plant 30</t>
        </is>
      </c>
      <c r="H12" s="816" t="inlineStr">
        <is>
          <t>G1</t>
        </is>
      </c>
      <c r="I12" s="643" t="inlineStr">
        <is>
          <t>DRI</t>
        </is>
      </c>
      <c r="J12" s="1087" t="n"/>
      <c r="K12" s="1087" t="n"/>
      <c r="L12" s="1087" t="n"/>
      <c r="M12" s="1087" t="n"/>
      <c r="N12" s="1087" t="n"/>
      <c r="O12" s="1087" t="n"/>
      <c r="P12" s="817" t="inlineStr">
        <is>
          <t>P1</t>
        </is>
      </c>
      <c r="Q12" s="643" t="inlineStr">
        <is>
          <t>Sintering</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Works Street, 68</t>
        </is>
      </c>
      <c r="H13" s="816" t="inlineStr">
        <is>
          <t>G2</t>
        </is>
      </c>
      <c r="I13" s="644" t="n"/>
      <c r="J13" s="1089" t="n"/>
      <c r="K13" s="1089" t="n"/>
      <c r="L13" s="1089" t="n"/>
      <c r="M13" s="1089" t="n"/>
      <c r="N13" s="1089" t="n"/>
      <c r="O13" s="1089" t="n"/>
      <c r="P13" s="817" t="inlineStr">
        <is>
          <t>P2</t>
        </is>
      </c>
      <c r="Q13" s="644" t="n"/>
      <c r="R13" s="644" t="n"/>
      <c r="S13" s="1089" t="n"/>
      <c r="T13" s="1089" t="n"/>
      <c r="U13" s="1089" t="n"/>
      <c r="V13" s="1089" t="n"/>
      <c r="W13" s="1089" t="n"/>
      <c r="X13" s="1089" t="n"/>
      <c r="Y13" s="16" t="n"/>
      <c r="Z13" s="1191" t="n">
        <v>3013216.071</v>
      </c>
      <c r="AA13" s="1203" t="n"/>
      <c r="AB13" s="1191" t="n">
        <v>110391.627</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3013216.071</v>
      </c>
      <c r="AY15" s="242" t="n"/>
      <c r="AZ15" s="242" t="n"/>
      <c r="BA15" s="242" t="n"/>
      <c r="BB15" s="138" t="n"/>
      <c r="BC15" s="140" t="n"/>
      <c r="BD15" s="737" t="n"/>
      <c r="BE15" s="737" t="n"/>
      <c r="BF15" s="737" t="n"/>
    </row>
    <row r="16" ht="12.75" customHeight="1">
      <c r="C16" s="16" t="n"/>
      <c r="D16" s="167">
        <f>Translations!$C$80</f>
        <v/>
      </c>
      <c r="E16" s="167" t="n"/>
      <c r="F16" s="819" t="n"/>
      <c r="G16" s="644" t="inlineStr">
        <is>
          <t>KR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163699.65</v>
      </c>
      <c r="AY16" s="242" t="n"/>
      <c r="AZ16" s="242" t="n"/>
      <c r="BA16" s="242" t="n"/>
      <c r="BB16" s="138" t="n"/>
      <c r="BC16" s="140" t="n"/>
      <c r="BD16" s="737" t="n"/>
      <c r="BE16" s="737" t="n"/>
      <c r="BF16" s="737" t="n"/>
    </row>
    <row r="17" ht="12.75" customHeight="1">
      <c r="C17" s="16" t="n"/>
      <c r="D17" s="167">
        <f>Translations!$C$81</f>
        <v/>
      </c>
      <c r="E17" s="167" t="n"/>
      <c r="F17" s="819" t="n"/>
      <c r="G17" s="644" t="inlineStr">
        <is>
          <t>KRSGT</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3176915.721</v>
      </c>
      <c r="AY17" s="242" t="n"/>
      <c r="AZ17" s="242" t="n"/>
      <c r="BA17" s="242" t="n"/>
      <c r="BB17" s="138" t="n"/>
      <c r="BC17" s="140" t="n"/>
      <c r="BD17" s="737" t="n"/>
      <c r="BE17" s="737" t="n"/>
      <c r="BF17" s="737" t="n"/>
    </row>
    <row r="18" ht="12.75" customHeight="1">
      <c r="C18" s="16" t="n"/>
      <c r="D18" s="167">
        <f>Translations!$C$82</f>
        <v/>
      </c>
      <c r="E18" s="167" t="n"/>
      <c r="F18" s="819" t="n"/>
      <c r="G18" s="644" t="inlineStr">
        <is>
          <t>12.1993744°</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160.6307666°</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Cross-checked against fuel purchase invoices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Sintering</t>
        </is>
      </c>
      <c r="E26" s="643" t="inlineStr">
        <is>
          <t>Sintered ore</t>
        </is>
      </c>
      <c r="F26" s="835" t="inlineStr">
        <is>
          <t>72071190</t>
        </is>
      </c>
      <c r="G26" s="1087" t="inlineStr">
        <is>
          <t>Semi-finished products of iron or non-alloy steel, containing &lt; 0,25% carbon, other than of rectangular cross-section</t>
        </is>
      </c>
      <c r="H26" s="1087" t="inlineStr">
        <is>
          <t>Example product A (batch 30)</t>
        </is>
      </c>
      <c r="I26" s="1309" t="n">
        <v>0.616848</v>
      </c>
      <c r="J26" s="1309" t="n">
        <v>0.29403</v>
      </c>
      <c r="K26" s="1309" t="n">
        <v>0.910878</v>
      </c>
      <c r="L26" s="1309" t="inlineStr">
        <is>
          <t>tCO2e/t</t>
        </is>
      </c>
      <c r="M26" s="837" t="n">
        <v>0.1731</v>
      </c>
      <c r="N26" s="1309" t="inlineStr">
        <is>
          <t>D.4(b)</t>
        </is>
      </c>
      <c r="O26" s="1309" t="n">
        <v>0.67577</v>
      </c>
      <c r="P26" s="421" t="n"/>
      <c r="Q26" s="421" t="inlineStr">
        <is>
          <t>920696</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0.7903</v>
      </c>
      <c r="AN26" s="1304" t="n">
        <v>0.053238</v>
      </c>
      <c r="AO26" s="1305" t="inlineStr">
        <is>
          <t>tCO2e/t</t>
        </is>
      </c>
      <c r="AP26" s="421" t="inlineStr">
        <is>
          <t>GBP</t>
        </is>
      </c>
      <c r="AQ26" s="775" t="n">
        <v>80.16</v>
      </c>
      <c r="AR26" s="501" t="inlineStr">
        <is>
          <t>GBP/t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Pig iron</t>
        </is>
      </c>
      <c r="F27" s="839" t="inlineStr">
        <is>
          <t>72081000</t>
        </is>
      </c>
      <c r="G27" s="1089" t="inlineStr">
        <is>
          <t>Flat-rolled products of iron or non-alloy steel, of a width of &gt;= 600 mm, in coils, simply hot-rolled</t>
        </is>
      </c>
      <c r="H27" s="1089" t="inlineStr">
        <is>
          <t>Example product B (batch 30)</t>
        </is>
      </c>
      <c r="I27" s="1310" t="n">
        <v>1.81221</v>
      </c>
      <c r="J27" s="1310" t="n">
        <v>0.14862</v>
      </c>
      <c r="K27" s="1310" t="n">
        <v>1.96083</v>
      </c>
      <c r="L27" s="1310" t="inlineStr">
        <is>
          <t>tCO2e/t</t>
        </is>
      </c>
      <c r="M27" s="841" t="n">
        <v>0.2952</v>
      </c>
      <c r="N27" s="1310" t="inlineStr">
        <is>
          <t>D.4(c)</t>
        </is>
      </c>
      <c r="O27" s="1310" t="n">
        <v>0.19827</v>
      </c>
      <c r="P27" s="427" t="n"/>
      <c r="Q27" s="427" t="inlineStr">
        <is>
          <t>371162</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0.5334</v>
      </c>
      <c r="AN27" s="1306" t="n">
        <v>1.61584</v>
      </c>
      <c r="AO27" s="788" t="inlineStr">
        <is>
          <t>tCO2e/t</t>
        </is>
      </c>
      <c r="AP27" s="427" t="inlineStr">
        <is>
          <t>GBP</t>
        </is>
      </c>
      <c r="AQ27" s="792" t="n">
        <v>59.6</v>
      </c>
      <c r="AR27" s="788" t="inlineStr">
        <is>
          <t>GBP/t</t>
        </is>
      </c>
      <c r="AS27" s="644" t="inlineStr">
        <is>
          <t>Free allocation equivalent</t>
        </is>
      </c>
      <c r="AT27" s="842" t="n">
        <v>0.975</v>
      </c>
      <c r="AU27" s="1306" t="n">
        <v>0.281473</v>
      </c>
      <c r="AV27" s="788" t="inlineStr">
        <is>
          <t>tCO2e/t</t>
        </is>
      </c>
      <c r="AW27" s="792" t="n">
        <v>14.84</v>
      </c>
      <c r="AX27" s="788" t="inlineStr">
        <is>
          <t>GBP/t</t>
        </is>
      </c>
      <c r="AY27" s="792" t="n">
        <v>44.76</v>
      </c>
      <c r="AZ27" s="793" t="inlineStr">
        <is>
          <t>GBP/t</t>
        </is>
      </c>
      <c r="BC27" s="140" t="n"/>
      <c r="BD27" s="140" t="n"/>
      <c r="BE27" s="140" t="n"/>
      <c r="BF27" s="140" t="n"/>
    </row>
    <row r="28" ht="12.75" customHeight="1">
      <c r="B28" s="738" t="n"/>
      <c r="C28" s="834" t="n">
        <v>3</v>
      </c>
      <c r="D28" s="1089" t="inlineStr">
        <is>
          <t>Sintering</t>
        </is>
      </c>
      <c r="E28" s="644" t="inlineStr">
        <is>
          <t>DRI</t>
        </is>
      </c>
      <c r="F28" s="839" t="inlineStr">
        <is>
          <t>72031000</t>
        </is>
      </c>
      <c r="G28" s="1089" t="inlineStr">
        <is>
          <t>Ferrous products obtained by direct reduction of iron ore</t>
        </is>
      </c>
      <c r="H28" s="1089" t="inlineStr">
        <is>
          <t>Example product C (batch 30)</t>
        </is>
      </c>
      <c r="I28" s="1310" t="n">
        <v>0.275476</v>
      </c>
      <c r="J28" s="1310" t="n">
        <v>0.087926</v>
      </c>
      <c r="K28" s="1310" t="n">
        <v>0.363402</v>
      </c>
      <c r="L28" s="1310" t="inlineStr">
        <is>
          <t>tCO2e/t</t>
        </is>
      </c>
      <c r="M28" s="841" t="n">
        <v>0.0317</v>
      </c>
      <c r="N28" s="1310" t="inlineStr">
        <is>
          <t>D.4(a)</t>
        </is>
      </c>
      <c r="O28" s="1310" t="n">
        <v>1.5164</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0.4474</v>
      </c>
      <c r="AN28" s="1306" t="n">
        <v>0.304917</v>
      </c>
      <c r="AO28" s="788" t="inlineStr">
        <is>
          <t>tCO2e/t</t>
        </is>
      </c>
      <c r="AP28" s="427" t="inlineStr">
        <is>
          <t>GBP</t>
        </is>
      </c>
      <c r="AQ28" s="792" t="n">
        <v>37.39</v>
      </c>
      <c r="AR28" s="788" t="inlineStr">
        <is>
          <t>GBP/t</t>
        </is>
      </c>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2026-09-13T17:35:41Z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