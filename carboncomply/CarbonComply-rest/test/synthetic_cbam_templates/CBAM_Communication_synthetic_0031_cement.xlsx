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45200</v>
      </c>
      <c r="J9" s="1400" t="n"/>
      <c r="K9" s="1398">
        <f>Translations!$B$69</f>
        <v/>
      </c>
      <c r="L9" s="1399" t="n">
        <v>45291</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Ankara Cement Plant 31</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Ankara Cement Plant 31</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Cement Boulevard, 88</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97636</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KQS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Ankara</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Türkiye</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TROSM</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38.2892381°</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167.0167584°</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Kenji Gomez</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kenji.gomez@example-cement.com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+40 762692676</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Ankara Cement Plant 31</t>
        </is>
      </c>
      <c r="H12" s="2155" t="inlineStr">
        <is>
          <t>G1</t>
        </is>
      </c>
      <c r="I12" s="1958" t="inlineStr">
        <is>
          <t>Cement clinker</t>
        </is>
      </c>
      <c r="J12" s="1441" t="n"/>
      <c r="K12" s="1441" t="n"/>
      <c r="L12" s="1441" t="n"/>
      <c r="M12" s="1441" t="n"/>
      <c r="N12" s="1441" t="n"/>
      <c r="O12" s="1441" t="n"/>
      <c r="P12" s="2156" t="inlineStr">
        <is>
          <t>P1</t>
        </is>
      </c>
      <c r="Q12" s="1958" t="inlineStr">
        <is>
          <t>Cement Bubble</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Cement Boulevard, 88</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Wet kiln process</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7084944.918</v>
      </c>
      <c r="AA13" s="1234" t="n"/>
      <c r="AB13" s="1981" t="n">
        <v>152291.706</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inlineStr">
        <is>
          <t>Clinker cooling</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7084944.918</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TR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608630.111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TROSM</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7693575.029</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38.2892381°</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167.0167584°</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analyses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45200</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45291</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Cross-checked against fuel purchase invoices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 clinker</t>
        </is>
      </c>
      <c r="F26" s="2175" t="inlineStr">
        <is>
          <t>25233000</t>
        </is>
      </c>
      <c r="G26" s="1441" t="inlineStr">
        <is>
          <t>Aluminous cement</t>
        </is>
      </c>
      <c r="H26" s="1441" t="inlineStr">
        <is>
          <t>Example product A (batch 31)</t>
        </is>
      </c>
      <c r="I26" s="2176" t="n">
        <v>0.61572</v>
      </c>
      <c r="J26" s="2176" t="n">
        <v>0.458133</v>
      </c>
      <c r="K26" s="2176" t="n">
        <v>1.073853</v>
      </c>
      <c r="L26" s="2176" t="inlineStr">
        <is>
          <t>tCO2e/t</t>
        </is>
      </c>
      <c r="M26" s="2177" t="n">
        <v>0.2932</v>
      </c>
      <c r="N26" s="2176" t="inlineStr">
        <is>
          <t>D.4(c)</t>
        </is>
      </c>
      <c r="O26" s="2176" t="n">
        <v>1.73517</v>
      </c>
      <c r="P26" s="1698" t="n"/>
      <c r="Q26" s="1698" t="n"/>
      <c r="R26" s="2178" t="n"/>
      <c r="S26" s="2178" t="n"/>
      <c r="T26" s="2178" t="n"/>
      <c r="U26" s="2178" t="n"/>
      <c r="V26" s="2178" t="n"/>
      <c r="W26" s="2178" t="n"/>
      <c r="X26" s="2178" t="n"/>
      <c r="Y26" s="2178" t="n"/>
      <c r="Z26" s="2178" t="n"/>
      <c r="AA26" s="2178" t="n"/>
      <c r="AB26" s="2178" t="n">
        <v>0.7176</v>
      </c>
      <c r="AC26" s="2178" t="n"/>
      <c r="AD26" s="2178" t="n"/>
      <c r="AE26" s="2178" t="n"/>
      <c r="AF26" s="2178" t="n"/>
      <c r="AG26" s="2178" t="n"/>
      <c r="AH26" s="2178" t="n"/>
      <c r="AI26" s="2178" t="n"/>
      <c r="AJ26" s="2178" t="n"/>
      <c r="AK26" s="2178" t="n"/>
      <c r="AL26" s="1958" t="inlineStr">
        <is>
          <t>Fuel levy</t>
        </is>
      </c>
      <c r="AM26" s="2178" t="n">
        <v>0.3265</v>
      </c>
      <c r="AN26" s="2108" t="n">
        <v>0.707466</v>
      </c>
      <c r="AO26" s="2109" t="inlineStr">
        <is>
          <t>tCO2e/t</t>
        </is>
      </c>
      <c r="AP26" s="1698" t="inlineStr">
        <is>
          <t>TRY</t>
        </is>
      </c>
      <c r="AQ26" s="2113" t="n">
        <v>88.36</v>
      </c>
      <c r="AR26" s="1796" t="inlineStr">
        <is>
          <t>TRY/t</t>
        </is>
      </c>
      <c r="AS26" s="1958" t="inlineStr">
        <is>
          <t>Partial exemption</t>
        </is>
      </c>
      <c r="AT26" s="2178" t="n">
        <v>0.8862</v>
      </c>
      <c r="AU26" s="2108" t="n">
        <v>0.095096</v>
      </c>
      <c r="AV26" s="2109" t="inlineStr">
        <is>
          <t>tCO2e/t</t>
        </is>
      </c>
      <c r="AW26" s="2113" t="n">
        <v>44.61</v>
      </c>
      <c r="AX26" s="1796" t="inlineStr">
        <is>
          <t>TRY/t</t>
        </is>
      </c>
      <c r="AY26" s="2113" t="n">
        <v>43.75</v>
      </c>
      <c r="AZ26" s="2114" t="inlineStr">
        <is>
          <t>TRY/t</t>
        </is>
      </c>
      <c r="BC26" s="1361" t="n"/>
      <c r="BD26" s="1361" t="n"/>
      <c r="BE26" s="1361" t="n"/>
      <c r="BF26" s="1361" t="n"/>
    </row>
    <row r="27" ht="12.75" customHeight="1" s="1230">
      <c r="B27" s="2076" t="n"/>
      <c r="C27" s="2174" t="n">
        <v>2</v>
      </c>
      <c r="D27" s="1449" t="inlineStr">
        <is>
          <t>Wet kiln process</t>
        </is>
      </c>
      <c r="E27" s="1959" t="inlineStr">
        <is>
          <t>Cement</t>
        </is>
      </c>
      <c r="F27" s="2179" t="inlineStr">
        <is>
          <t>25232100</t>
        </is>
      </c>
      <c r="G27" s="1449" t="inlineStr">
        <is>
          <t>White Portland cement, whether or not artificially coloured</t>
        </is>
      </c>
      <c r="H27" s="1449" t="inlineStr">
        <is>
          <t>Example product B (batch 31)</t>
        </is>
      </c>
      <c r="I27" s="2180" t="n">
        <v>2.030429</v>
      </c>
      <c r="J27" s="2180" t="n">
        <v>0.44565</v>
      </c>
      <c r="K27" s="2180" t="n">
        <v>2.476079</v>
      </c>
      <c r="L27" s="2180" t="inlineStr">
        <is>
          <t>tCO2e/t</t>
        </is>
      </c>
      <c r="M27" s="2181" t="n">
        <v>0.0544</v>
      </c>
      <c r="N27" s="2180" t="inlineStr">
        <is>
          <t>D.4(a)</t>
        </is>
      </c>
      <c r="O27" s="2180" t="n">
        <v>1.44681</v>
      </c>
      <c r="P27" s="1704" t="n"/>
      <c r="Q27" s="1704" t="n"/>
      <c r="R27" s="2182" t="n"/>
      <c r="S27" s="2182" t="n"/>
      <c r="T27" s="2182" t="n"/>
      <c r="U27" s="2182" t="n"/>
      <c r="V27" s="2182" t="n"/>
      <c r="W27" s="2182" t="n"/>
      <c r="X27" s="2182" t="n"/>
      <c r="Y27" s="2182" t="n"/>
      <c r="Z27" s="2182" t="n"/>
      <c r="AA27" s="2182" t="n"/>
      <c r="AB27" s="2182" t="n">
        <v>0.8996</v>
      </c>
      <c r="AC27" s="2182" t="n"/>
      <c r="AD27" s="2182" t="n"/>
      <c r="AE27" s="2182" t="n"/>
      <c r="AF27" s="2182" t="n"/>
      <c r="AG27" s="2182" t="n"/>
      <c r="AH27" s="2182" t="n"/>
      <c r="AI27" s="2182" t="n"/>
      <c r="AJ27" s="2182" t="n"/>
      <c r="AK27" s="2182" t="n"/>
      <c r="AL27" s="1959" t="inlineStr">
        <is>
          <t>Carbon tax</t>
        </is>
      </c>
      <c r="AM27" s="2182" t="n">
        <v>0.353</v>
      </c>
      <c r="AN27" s="2125" t="n">
        <v>1.036587</v>
      </c>
      <c r="AO27" s="2126" t="inlineStr">
        <is>
          <t>tCO2e/t</t>
        </is>
      </c>
      <c r="AP27" s="1704" t="inlineStr">
        <is>
          <t>TRY</t>
        </is>
      </c>
      <c r="AQ27" s="2130" t="n">
        <v>91.08</v>
      </c>
      <c r="AR27" s="2126" t="inlineStr">
        <is>
          <t>TRY/t</t>
        </is>
      </c>
      <c r="AS27" s="1959" t="n"/>
      <c r="AT27" s="2182" t="n"/>
      <c r="AU27" s="2125" t="n"/>
      <c r="AV27" s="2126" t="n"/>
      <c r="AW27" s="2130" t="n"/>
      <c r="AX27" s="2126" t="n"/>
      <c r="AY27" s="2130" t="n"/>
      <c r="AZ27" s="2131" t="n"/>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2026-09-13T17:35:44Z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