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Kryvyi Rih Cement Plant 38</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Kryvyi Rih Cement Plant 38</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Furnace Street, 246</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944125</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RAS</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Kryvyi Rih</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Ukraine</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UAZYN</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2.8308523°</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-47.157849°</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John Zhang</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john.zhang@example-cement.com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+10 450749730</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Kryvyi Rih Cement Plant 38</t>
        </is>
      </c>
      <c r="H12" s="2155" t="inlineStr">
        <is>
          <t>G1</t>
        </is>
      </c>
      <c r="I12" s="1958" t="inlineStr">
        <is>
          <t>Cement</t>
        </is>
      </c>
      <c r="J12" s="1441" t="n"/>
      <c r="K12" s="1441" t="n"/>
      <c r="L12" s="1441" t="n"/>
      <c r="M12" s="1441" t="n"/>
      <c r="N12" s="1441" t="n"/>
      <c r="O12" s="1441" t="n"/>
      <c r="P12" s="2156" t="inlineStr">
        <is>
          <t>P1</t>
        </is>
      </c>
      <c r="Q12" s="1958" t="inlineStr">
        <is>
          <t>Clinker cooling</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Furnace Street, 246</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Cement Bubble</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7573852.552</v>
      </c>
      <c r="AA13" s="1234" t="n"/>
      <c r="AB13" s="1981" t="n">
        <v>376062.029</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7573852.552</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UA</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124444.767</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UAZYN</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7698297.319</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2.8308523°</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-47.157849°</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Combination of calculation-based and measurement-based methodologies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Clinker cooling</t>
        </is>
      </c>
      <c r="E26" s="1958" t="inlineStr">
        <is>
          <t>Cement clinker</t>
        </is>
      </c>
      <c r="F26" s="2175" t="inlineStr">
        <is>
          <t>25232100</t>
        </is>
      </c>
      <c r="G26" s="1441" t="inlineStr">
        <is>
          <t>White Portland cement, whether or not artificially coloured</t>
        </is>
      </c>
      <c r="H26" s="1441" t="inlineStr">
        <is>
          <t>Example product A (batch 38)</t>
        </is>
      </c>
      <c r="I26" s="2176" t="n">
        <v>1.504066</v>
      </c>
      <c r="J26" s="2176" t="n">
        <v>0.413867</v>
      </c>
      <c r="K26" s="2176" t="n">
        <v>1.917933</v>
      </c>
      <c r="L26" s="2176" t="inlineStr">
        <is>
          <t>tCO2e/t</t>
        </is>
      </c>
      <c r="M26" s="2177" t="n">
        <v>0.099</v>
      </c>
      <c r="N26" s="2176" t="inlineStr">
        <is>
          <t>PPA-specific factor</t>
        </is>
      </c>
      <c r="O26" s="2176" t="n">
        <v>1.88074</v>
      </c>
      <c r="P26" s="1698" t="n"/>
      <c r="Q26" s="1698" t="n"/>
      <c r="R26" s="2178" t="n"/>
      <c r="S26" s="2178" t="n"/>
      <c r="T26" s="2178" t="n"/>
      <c r="U26" s="2178" t="n"/>
      <c r="V26" s="2178" t="n"/>
      <c r="W26" s="2178" t="n"/>
      <c r="X26" s="2178" t="n"/>
      <c r="Y26" s="2178" t="n"/>
      <c r="Z26" s="2178" t="n"/>
      <c r="AA26" s="2178" t="n"/>
      <c r="AB26" s="2178" t="n">
        <v>0.9021</v>
      </c>
      <c r="AC26" s="2178" t="n"/>
      <c r="AD26" s="2178" t="n"/>
      <c r="AE26" s="2178" t="n"/>
      <c r="AF26" s="2178" t="n"/>
      <c r="AG26" s="2178" t="n"/>
      <c r="AH26" s="2178" t="n"/>
      <c r="AI26" s="2178" t="n"/>
      <c r="AJ26" s="2178" t="n"/>
      <c r="AK26" s="2178" t="n"/>
      <c r="AL26" s="1958" t="inlineStr">
        <is>
          <t>Fuel levy</t>
        </is>
      </c>
      <c r="AM26" s="2178" t="n">
        <v>0.1062</v>
      </c>
      <c r="AN26" s="2108" t="n">
        <v>1.246023</v>
      </c>
      <c r="AO26" s="2109" t="inlineStr">
        <is>
          <t>tCO2e/t</t>
        </is>
      </c>
      <c r="AP26" s="1698" t="inlineStr">
        <is>
          <t>PKR</t>
        </is>
      </c>
      <c r="AQ26" s="2113" t="n">
        <v>105.09</v>
      </c>
      <c r="AR26" s="1796" t="inlineStr">
        <is>
          <t>PKR/t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Cement Bubble</t>
        </is>
      </c>
      <c r="E27" s="1959" t="inlineStr">
        <is>
          <t>Cement clinker</t>
        </is>
      </c>
      <c r="F27" s="2179" t="inlineStr">
        <is>
          <t>25232900</t>
        </is>
      </c>
      <c r="G27" s="1449" t="inlineStr">
        <is>
          <t>Portland cement (excl. white, whether or not artificially coloured)</t>
        </is>
      </c>
      <c r="H27" s="1449" t="inlineStr">
        <is>
          <t>Example product B (batch 38)</t>
        </is>
      </c>
      <c r="I27" s="2180" t="n">
        <v>1.330306</v>
      </c>
      <c r="J27" s="2180" t="n">
        <v>0.487363</v>
      </c>
      <c r="K27" s="2180" t="n">
        <v>1.817669</v>
      </c>
      <c r="L27" s="2180" t="inlineStr">
        <is>
          <t>tCO2e/t</t>
        </is>
      </c>
      <c r="M27" s="2181" t="n">
        <v>0.0465</v>
      </c>
      <c r="N27" s="2180" t="inlineStr">
        <is>
          <t>Grid average factor</t>
        </is>
      </c>
      <c r="O27" s="2180" t="n">
        <v>0.5553</v>
      </c>
      <c r="P27" s="1704" t="n"/>
      <c r="Q27" s="1704" t="n"/>
      <c r="R27" s="2182" t="n"/>
      <c r="S27" s="2182" t="n"/>
      <c r="T27" s="2182" t="n"/>
      <c r="U27" s="2182" t="n"/>
      <c r="V27" s="2182" t="n"/>
      <c r="W27" s="2182" t="n"/>
      <c r="X27" s="2182" t="n"/>
      <c r="Y27" s="2182" t="n"/>
      <c r="Z27" s="2182" t="n"/>
      <c r="AA27" s="2182" t="n"/>
      <c r="AB27" s="2182" t="n">
        <v>0.8026</v>
      </c>
      <c r="AC27" s="2182" t="n"/>
      <c r="AD27" s="2182" t="n"/>
      <c r="AE27" s="2182" t="n"/>
      <c r="AF27" s="2182" t="n"/>
      <c r="AG27" s="2182" t="n"/>
      <c r="AH27" s="2182" t="n"/>
      <c r="AI27" s="2182" t="n"/>
      <c r="AJ27" s="2182" t="n"/>
      <c r="AK27" s="2182" t="n"/>
      <c r="AL27" s="1959" t="inlineStr">
        <is>
          <t>Carbon tax</t>
        </is>
      </c>
      <c r="AM27" s="2182" t="n">
        <v>0.1613</v>
      </c>
      <c r="AN27" s="2125" t="n">
        <v>0.938401</v>
      </c>
      <c r="AO27" s="2126" t="inlineStr">
        <is>
          <t>tCO2e/t</t>
        </is>
      </c>
      <c r="AP27" s="1704" t="inlineStr">
        <is>
          <t>PKR</t>
        </is>
      </c>
      <c r="AQ27" s="2130" t="n">
        <v>57.01</v>
      </c>
      <c r="AR27" s="2126" t="inlineStr">
        <is>
          <t>PKR/t</t>
        </is>
      </c>
      <c r="AS27" s="1959" t="inlineStr">
        <is>
          <t>Free allocation equivalent</t>
        </is>
      </c>
      <c r="AT27" s="2182" t="n">
        <v>0.4297</v>
      </c>
      <c r="AU27" s="2125" t="n">
        <v>0.298552</v>
      </c>
      <c r="AV27" s="2126" t="inlineStr">
        <is>
          <t>tCO2e/t</t>
        </is>
      </c>
      <c r="AW27" s="2130" t="n">
        <v>20.66</v>
      </c>
      <c r="AX27" s="2126" t="inlineStr">
        <is>
          <t>PKR/t</t>
        </is>
      </c>
      <c r="AY27" s="2130" t="n">
        <v>36.35</v>
      </c>
      <c r="AZ27" s="2131" t="inlineStr">
        <is>
          <t>PKR/t</t>
        </is>
      </c>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2026-09-13T17:36:08Z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