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44562</v>
      </c>
      <c r="J9" s="1400" t="n"/>
      <c r="K9" s="1398">
        <f>Translations!$B$69</f>
        <v/>
      </c>
      <c r="L9" s="1399" t="n">
        <v>44926</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Example City Cement Plant 46</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Example City Cement Plant 46</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Industrial Ave, 115</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Clinker and cement production</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57614</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CPZ</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Example City</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Taiwan</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TWFYX</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37.0963536°</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-41.7569074°</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Kenji Gomez</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kenji.gomez@example-cement.com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+1 530498010</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Example City Cement Plant 46</t>
        </is>
      </c>
      <c r="H12" s="2155" t="inlineStr">
        <is>
          <t>G1</t>
        </is>
      </c>
      <c r="I12" s="1958" t="inlineStr">
        <is>
          <t>Cement</t>
        </is>
      </c>
      <c r="J12" s="1441" t="n"/>
      <c r="K12" s="1441" t="n"/>
      <c r="L12" s="1441" t="n"/>
      <c r="M12" s="1441" t="n"/>
      <c r="N12" s="1441" t="n"/>
      <c r="O12" s="1441" t="n"/>
      <c r="P12" s="2156" t="inlineStr">
        <is>
          <t>P1</t>
        </is>
      </c>
      <c r="Q12" s="1958" t="inlineStr">
        <is>
          <t>Wet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Industrial Ave, 115</t>
        </is>
      </c>
      <c r="H13" s="2155" t="inlineStr">
        <is>
          <t>G2</t>
        </is>
      </c>
      <c r="I13" s="1959" t="n"/>
      <c r="J13" s="1449" t="n"/>
      <c r="K13" s="1449" t="n"/>
      <c r="L13" s="1449" t="n"/>
      <c r="M13" s="1449" t="n"/>
      <c r="N13" s="1449" t="n"/>
      <c r="O13" s="1449" t="n"/>
      <c r="P13" s="2156" t="inlineStr">
        <is>
          <t>P2</t>
        </is>
      </c>
      <c r="Q13" s="1959" t="inlineStr">
        <is>
          <t>Clinker cooling</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8673227.703</v>
      </c>
      <c r="AA13" s="1234" t="n"/>
      <c r="AB13" s="1981" t="n">
        <v>307650.779</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Clinker and cement production</t>
        </is>
      </c>
      <c r="H14" s="2155" t="inlineStr">
        <is>
          <t>G3</t>
        </is>
      </c>
      <c r="I14" s="1959" t="n"/>
      <c r="J14" s="1449" t="n"/>
      <c r="K14" s="1449" t="n"/>
      <c r="L14" s="1449" t="n"/>
      <c r="M14" s="1449" t="n"/>
      <c r="N14" s="1449" t="n"/>
      <c r="O14" s="1449" t="n"/>
      <c r="P14" s="2156" t="inlineStr">
        <is>
          <t>P3</t>
        </is>
      </c>
      <c r="Q14" s="1959" t="inlineStr">
        <is>
          <t>Cement Bubble</t>
        </is>
      </c>
      <c r="R14" s="1959" t="inlineStr">
        <is>
          <t>Cement clinker</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8673227.703</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TW</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509495.291</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TWFYX</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9182722.994000001</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37.0963536°</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-41.7569074°</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Mostly measurements &amp; analyses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44562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is>
          <t>Default values used for indirect emissions only</t>
        </is>
      </c>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44926</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ISO 14064-1 certified monitoring plan</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t>
        </is>
      </c>
      <c r="F26" s="2175" t="inlineStr">
        <is>
          <t>25239000</t>
        </is>
      </c>
      <c r="G26" s="1441" t="inlineStr">
        <is>
          <t>Other hydraulic cements</t>
        </is>
      </c>
      <c r="H26" s="1441" t="inlineStr">
        <is>
          <t>Example product A (batch 46)</t>
        </is>
      </c>
      <c r="I26" s="2176" t="n">
        <v>2.112956</v>
      </c>
      <c r="J26" s="2176" t="n">
        <v>0.187427</v>
      </c>
      <c r="K26" s="2176" t="n">
        <v>2.300383</v>
      </c>
      <c r="L26" s="2176" t="inlineStr">
        <is>
          <t>tCO2e/t</t>
        </is>
      </c>
      <c r="M26" s="2177" t="n">
        <v>0.2449</v>
      </c>
      <c r="N26" s="2176" t="inlineStr">
        <is>
          <t>D.4(a)</t>
        </is>
      </c>
      <c r="O26" s="2176" t="n">
        <v>1.16729</v>
      </c>
      <c r="P26" s="1698" t="n"/>
      <c r="Q26" s="1698" t="n"/>
      <c r="R26" s="2178" t="n"/>
      <c r="S26" s="2178" t="n"/>
      <c r="T26" s="2178" t="n"/>
      <c r="U26" s="2178" t="n"/>
      <c r="V26" s="2178" t="n"/>
      <c r="W26" s="2178" t="n"/>
      <c r="X26" s="2178" t="n"/>
      <c r="Y26" s="2178" t="n"/>
      <c r="Z26" s="2178" t="n"/>
      <c r="AA26" s="2178" t="n"/>
      <c r="AB26" s="2178" t="n">
        <v>0.7167</v>
      </c>
      <c r="AC26" s="2178" t="n"/>
      <c r="AD26" s="2178" t="n"/>
      <c r="AE26" s="2178" t="n"/>
      <c r="AF26" s="2178" t="n"/>
      <c r="AG26" s="2178" t="n"/>
      <c r="AH26" s="2178" t="n"/>
      <c r="AI26" s="2178" t="n"/>
      <c r="AJ26" s="2178" t="n"/>
      <c r="AK26" s="2178" t="n"/>
      <c r="AL26" s="1958" t="inlineStr">
        <is>
          <t>Carbon tax and ETS</t>
        </is>
      </c>
      <c r="AM26" s="2178" t="n">
        <v>0.5679999999999999</v>
      </c>
      <c r="AN26" s="2108" t="n">
        <v>1.308899</v>
      </c>
      <c r="AO26" s="2109" t="inlineStr">
        <is>
          <t>tCO2e/t</t>
        </is>
      </c>
      <c r="AP26" s="1698" t="inlineStr">
        <is>
          <t>THB</t>
        </is>
      </c>
      <c r="AQ26" s="2113" t="n">
        <v>7.59</v>
      </c>
      <c r="AR26" s="1796" t="inlineStr">
        <is>
          <t>THB/t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Cement Bubble</t>
        </is>
      </c>
      <c r="E27" s="1959" t="inlineStr">
        <is>
          <t>Cement clinker</t>
        </is>
      </c>
      <c r="F27" s="2179" t="inlineStr">
        <is>
          <t>25233000</t>
        </is>
      </c>
      <c r="G27" s="1449" t="inlineStr">
        <is>
          <t>Aluminous cement</t>
        </is>
      </c>
      <c r="H27" s="1449" t="inlineStr">
        <is>
          <t>Example product B (batch 46)</t>
        </is>
      </c>
      <c r="I27" s="2180" t="n">
        <v>1.674863</v>
      </c>
      <c r="J27" s="2180" t="n">
        <v>0.384255</v>
      </c>
      <c r="K27" s="2180" t="n">
        <v>2.059118</v>
      </c>
      <c r="L27" s="2180" t="inlineStr">
        <is>
          <t>tCO2e/t</t>
        </is>
      </c>
      <c r="M27" s="2181" t="n">
        <v>0.2361</v>
      </c>
      <c r="N27" s="2180" t="inlineStr">
        <is>
          <t>D.4(a)</t>
        </is>
      </c>
      <c r="O27" s="2180" t="n">
        <v>1.09185</v>
      </c>
      <c r="P27" s="1704" t="n"/>
      <c r="Q27" s="1704" t="n"/>
      <c r="R27" s="2182" t="n"/>
      <c r="S27" s="2182" t="n"/>
      <c r="T27" s="2182" t="n"/>
      <c r="U27" s="2182" t="n"/>
      <c r="V27" s="2182" t="n"/>
      <c r="W27" s="2182" t="n"/>
      <c r="X27" s="2182" t="n"/>
      <c r="Y27" s="2182" t="n"/>
      <c r="Z27" s="2182" t="n"/>
      <c r="AA27" s="2182" t="n"/>
      <c r="AB27" s="2182" t="n">
        <v>0.9317</v>
      </c>
      <c r="AC27" s="2182" t="n"/>
      <c r="AD27" s="2182" t="n"/>
      <c r="AE27" s="2182" t="n"/>
      <c r="AF27" s="2182" t="n"/>
      <c r="AG27" s="2182" t="n"/>
      <c r="AH27" s="2182" t="n"/>
      <c r="AI27" s="2182" t="n"/>
      <c r="AJ27" s="2182" t="n"/>
      <c r="AK27" s="2182" t="n"/>
      <c r="AL27" s="1959" t="inlineStr">
        <is>
          <t>Carbon tax and ETS</t>
        </is>
      </c>
      <c r="AM27" s="2182" t="n">
        <v>0.7893</v>
      </c>
      <c r="AN27" s="2125" t="n">
        <v>1.667163</v>
      </c>
      <c r="AO27" s="2126" t="inlineStr">
        <is>
          <t>tCO2e/t</t>
        </is>
      </c>
      <c r="AP27" s="1704" t="inlineStr">
        <is>
          <t>THB</t>
        </is>
      </c>
      <c r="AQ27" s="2130" t="n">
        <v>105.43</v>
      </c>
      <c r="AR27" s="2126" t="inlineStr">
        <is>
          <t>THB/t</t>
        </is>
      </c>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Wet kiln process</t>
        </is>
      </c>
      <c r="E28" s="1959" t="inlineStr">
        <is>
          <t>Cement clinker</t>
        </is>
      </c>
      <c r="F28" s="2179" t="inlineStr">
        <is>
          <t>25232100</t>
        </is>
      </c>
      <c r="G28" s="1449" t="inlineStr">
        <is>
          <t>White Portland cement, whether or not artificially coloured</t>
        </is>
      </c>
      <c r="H28" s="1449" t="inlineStr">
        <is>
          <t>Example product C (batch 46)</t>
        </is>
      </c>
      <c r="I28" s="2180" t="n">
        <v>2.095023</v>
      </c>
      <c r="J28" s="2180" t="n">
        <v>0.022805</v>
      </c>
      <c r="K28" s="2180" t="n">
        <v>2.117828</v>
      </c>
      <c r="L28" s="2180" t="inlineStr">
        <is>
          <t>tCO2e/t</t>
        </is>
      </c>
      <c r="M28" s="2181" t="n">
        <v>0.2648</v>
      </c>
      <c r="N28" s="2180" t="inlineStr">
        <is>
          <t>D.4(b)</t>
        </is>
      </c>
      <c r="O28" s="2180" t="n">
        <v>1.46894</v>
      </c>
      <c r="P28" s="1704" t="n"/>
      <c r="Q28" s="1704" t="n"/>
      <c r="R28" s="2182" t="n"/>
      <c r="S28" s="2182" t="n"/>
      <c r="T28" s="2182" t="n"/>
      <c r="U28" s="2182" t="n"/>
      <c r="V28" s="2182" t="n"/>
      <c r="W28" s="2182" t="n"/>
      <c r="X28" s="2182" t="n"/>
      <c r="Y28" s="2182" t="n"/>
      <c r="Z28" s="2182" t="n"/>
      <c r="AA28" s="2182" t="n"/>
      <c r="AB28" s="2182" t="n">
        <v>0.8537</v>
      </c>
      <c r="AC28" s="2182" t="n"/>
      <c r="AD28" s="2182" t="n"/>
      <c r="AE28" s="2182" t="n"/>
      <c r="AF28" s="2182" t="n"/>
      <c r="AG28" s="2182" t="n"/>
      <c r="AH28" s="2182" t="n"/>
      <c r="AI28" s="2182" t="n"/>
      <c r="AJ28" s="2182" t="n"/>
      <c r="AK28" s="2182" t="n"/>
      <c r="AL28" s="1959" t="inlineStr">
        <is>
          <t>Emissions Trading System</t>
        </is>
      </c>
      <c r="AM28" s="2182" t="n">
        <v>0.7411</v>
      </c>
      <c r="AN28" s="2125" t="n">
        <v>1.272664</v>
      </c>
      <c r="AO28" s="2126" t="inlineStr">
        <is>
          <t>tCO2e/t</t>
        </is>
      </c>
      <c r="AP28" s="1704" t="inlineStr">
        <is>
          <t>THB</t>
        </is>
      </c>
      <c r="AQ28" s="2130" t="n">
        <v>38.36</v>
      </c>
      <c r="AR28" s="2126" t="inlineStr">
        <is>
          <t>THB/t</t>
        </is>
      </c>
      <c r="AS28" s="1959" t="inlineStr">
        <is>
          <t>Sector-specific reduction</t>
        </is>
      </c>
      <c r="AT28" s="2182" t="n">
        <v>0.9297</v>
      </c>
      <c r="AU28" s="2125" t="n">
        <v>0.444111</v>
      </c>
      <c r="AV28" s="2126" t="inlineStr">
        <is>
          <t>tCO2e/t</t>
        </is>
      </c>
      <c r="AW28" s="2130" t="n">
        <v>9.93</v>
      </c>
      <c r="AX28" s="2126" t="inlineStr">
        <is>
          <t>THB/t</t>
        </is>
      </c>
      <c r="AY28" s="2130" t="n">
        <v>28.43</v>
      </c>
      <c r="AZ28" s="2131" t="inlineStr">
        <is>
          <t>THB/t</t>
        </is>
      </c>
      <c r="BC28" s="1361" t="n"/>
      <c r="BD28" s="1361" t="n"/>
      <c r="BE28" s="1361" t="n"/>
      <c r="BF28" s="1361" t="n"/>
    </row>
    <row r="29" ht="12.75" customHeight="1" s="1230">
      <c r="B29" s="2076" t="n"/>
      <c r="C29" s="2174" t="n">
        <v>4</v>
      </c>
      <c r="D29" s="1449" t="inlineStr">
        <is>
          <t>Cement Bubble</t>
        </is>
      </c>
      <c r="E29" s="1959" t="inlineStr">
        <is>
          <t>Cement clinker</t>
        </is>
      </c>
      <c r="F29" s="2179" t="inlineStr">
        <is>
          <t>25231000</t>
        </is>
      </c>
      <c r="G29" s="1449" t="inlineStr">
        <is>
          <t>Cement clinkers</t>
        </is>
      </c>
      <c r="H29" s="1449" t="inlineStr">
        <is>
          <t>Example product D (batch 46)</t>
        </is>
      </c>
      <c r="I29" s="2180" t="n">
        <v>1.081462</v>
      </c>
      <c r="J29" s="2180" t="n">
        <v>0.038181</v>
      </c>
      <c r="K29" s="2180" t="n">
        <v>1.119643</v>
      </c>
      <c r="L29" s="2180" t="inlineStr">
        <is>
          <t>tCO2e/t</t>
        </is>
      </c>
      <c r="M29" s="2181" t="n">
        <v>0.0736</v>
      </c>
      <c r="N29" s="2180" t="inlineStr">
        <is>
          <t>Grid average factor</t>
        </is>
      </c>
      <c r="O29" s="2180" t="n">
        <v>0.7849699999999999</v>
      </c>
      <c r="P29" s="1704" t="n"/>
      <c r="Q29" s="1704" t="n"/>
      <c r="R29" s="2182" t="n"/>
      <c r="S29" s="2182" t="n"/>
      <c r="T29" s="2182" t="n"/>
      <c r="U29" s="2182" t="n"/>
      <c r="V29" s="2182" t="n"/>
      <c r="W29" s="2182" t="n"/>
      <c r="X29" s="2182" t="n"/>
      <c r="Y29" s="2182" t="n"/>
      <c r="Z29" s="2182" t="n"/>
      <c r="AA29" s="2182" t="n"/>
      <c r="AB29" s="2182" t="n">
        <v>0.8724</v>
      </c>
      <c r="AC29" s="2182" t="n"/>
      <c r="AD29" s="2182" t="n"/>
      <c r="AE29" s="2182" t="n"/>
      <c r="AF29" s="2182" t="n"/>
      <c r="AG29" s="2182" t="n"/>
      <c r="AH29" s="2182" t="n"/>
      <c r="AI29" s="2182" t="n"/>
      <c r="AJ29" s="2182" t="n"/>
      <c r="AK29" s="2182" t="n"/>
      <c r="AL29" s="1959" t="inlineStr">
        <is>
          <t>Fuel levy</t>
        </is>
      </c>
      <c r="AM29" s="2182" t="n">
        <v>0.2199</v>
      </c>
      <c r="AN29" s="2125" t="n">
        <v>0.701021</v>
      </c>
      <c r="AO29" s="2126" t="inlineStr">
        <is>
          <t>tCO2e/t</t>
        </is>
      </c>
      <c r="AP29" s="1704" t="inlineStr">
        <is>
          <t>THB</t>
        </is>
      </c>
      <c r="AQ29" s="2130" t="n">
        <v>21.67</v>
      </c>
      <c r="AR29" s="2126" t="inlineStr">
        <is>
          <t>THB/t</t>
        </is>
      </c>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2026-09-13T17:36:34Z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