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Rustavi Steel Plant 3</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Rustavi Steel Plant 3</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Works Street, 77</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514303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ZIZ</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Rustavi</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Georgia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GEAFZ</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-41.9607029°</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25.0169787°</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Priya Novak</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priya.novak@example-steel.com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+71 755044427</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Rustavi Steel Plant 3</t>
        </is>
      </c>
      <c r="H12" s="816" t="inlineStr">
        <is>
          <t>G1</t>
        </is>
      </c>
      <c r="I12" s="643" t="inlineStr">
        <is>
          <t>Pig iron</t>
        </is>
      </c>
      <c r="J12" s="1087" t="n"/>
      <c r="K12" s="1087" t="n"/>
      <c r="L12" s="1087" t="n"/>
      <c r="M12" s="1087" t="n"/>
      <c r="N12" s="1087" t="n"/>
      <c r="O12" s="1087" t="n"/>
      <c r="P12" s="817" t="inlineStr">
        <is>
          <t>P1</t>
        </is>
      </c>
      <c r="Q12" s="643" t="inlineStr">
        <is>
          <t>Blast furnace route</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Works Street, 77</t>
        </is>
      </c>
      <c r="H13" s="816" t="inlineStr">
        <is>
          <t>G2</t>
        </is>
      </c>
      <c r="I13" s="644" t="inlineStr">
        <is>
          <t>Sintered ore</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Crude steel</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8866569.911</v>
      </c>
      <c r="AA13" s="1203" t="n"/>
      <c r="AB13" s="1191" t="n">
        <v>323645.298</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inlineStr">
        <is>
          <t>DRI</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inlineStr">
        <is>
          <t>Sintering</t>
        </is>
      </c>
      <c r="R14" s="644" t="inlineStr">
        <is>
          <t>Crude steel</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8866569.911</v>
      </c>
      <c r="AY15" s="242" t="n"/>
      <c r="AZ15" s="242" t="n"/>
      <c r="BA15" s="242" t="n"/>
      <c r="BB15" s="138" t="n"/>
      <c r="BC15" s="140" t="n"/>
      <c r="BD15" s="737" t="n"/>
      <c r="BE15" s="737" t="n"/>
      <c r="BF15" s="737" t="n"/>
    </row>
    <row r="16" ht="12.75" customHeight="1">
      <c r="C16" s="16" t="n"/>
      <c r="D16" s="167">
        <f>Translations!$C$80</f>
        <v/>
      </c>
      <c r="E16" s="167" t="n"/>
      <c r="F16" s="819" t="n"/>
      <c r="G16" s="644" t="inlineStr">
        <is>
          <t>GE</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916425.644</v>
      </c>
      <c r="AY16" s="242" t="n"/>
      <c r="AZ16" s="242" t="n"/>
      <c r="BA16" s="242" t="n"/>
      <c r="BB16" s="138" t="n"/>
      <c r="BC16" s="140" t="n"/>
      <c r="BD16" s="737" t="n"/>
      <c r="BE16" s="737" t="n"/>
      <c r="BF16" s="737" t="n"/>
    </row>
    <row r="17" ht="12.75" customHeight="1">
      <c r="C17" s="16" t="n"/>
      <c r="D17" s="167">
        <f>Translations!$C$81</f>
        <v/>
      </c>
      <c r="E17" s="167" t="n"/>
      <c r="F17" s="819" t="n"/>
      <c r="G17" s="644" t="inlineStr">
        <is>
          <t>GEAFZ</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9782995.555</v>
      </c>
      <c r="AY17" s="242" t="n"/>
      <c r="AZ17" s="242" t="n"/>
      <c r="BA17" s="242" t="n"/>
      <c r="BB17" s="138" t="n"/>
      <c r="BC17" s="140" t="n"/>
      <c r="BD17" s="737" t="n"/>
      <c r="BE17" s="737" t="n"/>
      <c r="BF17" s="737" t="n"/>
    </row>
    <row r="18" ht="12.75" customHeight="1">
      <c r="C18" s="16" t="n"/>
      <c r="D18" s="167">
        <f>Translations!$C$82</f>
        <v/>
      </c>
      <c r="E18" s="167" t="n"/>
      <c r="F18" s="819" t="n"/>
      <c r="G18" s="644" t="inlineStr">
        <is>
          <t>-41.9607029°</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25.0169787°</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Default values used where site-specific data was unavailable</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DRI</t>
        </is>
      </c>
      <c r="F26" s="835" t="inlineStr">
        <is>
          <t>72071190</t>
        </is>
      </c>
      <c r="G26" s="1087" t="inlineStr">
        <is>
          <t>Semi-finished products of iron or non-alloy steel, containing &lt; 0,25% carbon, other than of rectangular cross-section</t>
        </is>
      </c>
      <c r="H26" s="1087" t="inlineStr">
        <is>
          <t>Example product A (batch 3)</t>
        </is>
      </c>
      <c r="I26" s="1309" t="n">
        <v>0.81334</v>
      </c>
      <c r="J26" s="1309" t="n">
        <v>0.170907</v>
      </c>
      <c r="K26" s="1309" t="n">
        <v>0.984247</v>
      </c>
      <c r="L26" s="1309" t="inlineStr">
        <is>
          <t>tCO2e/t</t>
        </is>
      </c>
      <c r="M26" s="837" t="n">
        <v>0.1496</v>
      </c>
      <c r="N26" s="1309" t="inlineStr">
        <is>
          <t>D.4(a)</t>
        </is>
      </c>
      <c r="O26" s="1309" t="n">
        <v>1.6087</v>
      </c>
      <c r="P26" s="421" t="n"/>
      <c r="Q26" s="421" t="inlineStr">
        <is>
          <t>482548</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 and ETS</t>
        </is>
      </c>
      <c r="AM26" s="838" t="n">
        <v>0.3787</v>
      </c>
      <c r="AN26" s="1304" t="n">
        <v>0.381544</v>
      </c>
      <c r="AO26" s="1305" t="inlineStr">
        <is>
          <t>tCO2e/t</t>
        </is>
      </c>
      <c r="AP26" s="421" t="inlineStr">
        <is>
          <t>COP</t>
        </is>
      </c>
      <c r="AQ26" s="775" t="n">
        <v>118.92</v>
      </c>
      <c r="AR26" s="501" t="inlineStr">
        <is>
          <t>COP/t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Electric arc furnace</t>
        </is>
      </c>
      <c r="E27" s="644" t="inlineStr">
        <is>
          <t>DRI</t>
        </is>
      </c>
      <c r="F27" s="839" t="inlineStr">
        <is>
          <t>73181900</t>
        </is>
      </c>
      <c r="G27" s="1089" t="inlineStr">
        <is>
          <t>Threaded articles of iron or steel, other than screws, bolts, nuts and coach screws</t>
        </is>
      </c>
      <c r="H27" s="1089" t="inlineStr">
        <is>
          <t>Example product B (batch 3)</t>
        </is>
      </c>
      <c r="I27" s="1310" t="n">
        <v>0.66791</v>
      </c>
      <c r="J27" s="1310" t="n">
        <v>0.231508</v>
      </c>
      <c r="K27" s="1310" t="n">
        <v>0.8994180000000001</v>
      </c>
      <c r="L27" s="1310" t="inlineStr">
        <is>
          <t>tCO2e/t</t>
        </is>
      </c>
      <c r="M27" s="841" t="n">
        <v>0.2985</v>
      </c>
      <c r="N27" s="1310" t="inlineStr">
        <is>
          <t>D.4(b)</t>
        </is>
      </c>
      <c r="O27" s="1310" t="n">
        <v>1.65659</v>
      </c>
      <c r="P27" s="427" t="n"/>
      <c r="Q27" s="427" t="inlineStr">
        <is>
          <t>768410</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0.2922</v>
      </c>
      <c r="AN27" s="1306" t="n">
        <v>0.163261</v>
      </c>
      <c r="AO27" s="788" t="inlineStr">
        <is>
          <t>tCO2e/t</t>
        </is>
      </c>
      <c r="AP27" s="427" t="inlineStr">
        <is>
          <t>COP</t>
        </is>
      </c>
      <c r="AQ27" s="792" t="n">
        <v>106.88</v>
      </c>
      <c r="AR27" s="788" t="inlineStr">
        <is>
          <t>COP/t</t>
        </is>
      </c>
      <c r="AS27" s="644" t="inlineStr">
        <is>
          <t>Sector-specific reduction</t>
        </is>
      </c>
      <c r="AT27" s="842" t="n">
        <v>0.5568</v>
      </c>
      <c r="AU27" s="1306" t="n">
        <v>0.097663</v>
      </c>
      <c r="AV27" s="788" t="inlineStr">
        <is>
          <t>tCO2e/t</t>
        </is>
      </c>
      <c r="AW27" s="792" t="n">
        <v>60.84</v>
      </c>
      <c r="AX27" s="788" t="inlineStr">
        <is>
          <t>COP/t</t>
        </is>
      </c>
      <c r="AY27" s="792" t="n">
        <v>46.04</v>
      </c>
      <c r="AZ27" s="793" t="inlineStr">
        <is>
          <t>COP/t</t>
        </is>
      </c>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2026-09-13T17:34:10Z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