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45292</v>
      </c>
      <c r="J9" s="1400" t="n"/>
      <c r="K9" s="1398">
        <f>Translations!$B$69</f>
        <v/>
      </c>
      <c r="L9" s="1399" t="n">
        <v>45657</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Jamshedpur Cement Plant 4</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Jamshedpur Cement Plant 4</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Harbour Road, 216</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Cement grinding and packaging</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550432</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JCL</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Jamshedpur</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India</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INXKN</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59.1498946°</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119.8939809°</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Priya Petrova</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priya.petrova@example-cement.com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+13 265448132</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Jamshedpur Cement Plant 4</t>
        </is>
      </c>
      <c r="H12" s="2155" t="inlineStr">
        <is>
          <t>G1</t>
        </is>
      </c>
      <c r="I12" s="1958" t="inlineStr">
        <is>
          <t>Cement</t>
        </is>
      </c>
      <c r="J12" s="1441" t="n"/>
      <c r="K12" s="1441" t="n"/>
      <c r="L12" s="1441" t="n"/>
      <c r="M12" s="1441" t="n"/>
      <c r="N12" s="1441" t="n"/>
      <c r="O12" s="1441" t="n"/>
      <c r="P12" s="2156" t="inlineStr">
        <is>
          <t>P1</t>
        </is>
      </c>
      <c r="Q12" s="1958" t="inlineStr">
        <is>
          <t>Clinker cooling</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Harbour Road, 216</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Wet kiln process</t>
        </is>
      </c>
      <c r="R13" s="1959" t="inlineStr">
        <is>
          <t>Cement</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6079827.609</v>
      </c>
      <c r="AA13" s="1234" t="n"/>
      <c r="AB13" s="1981" t="n">
        <v>248759.105</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Cement grinding and packaging</t>
        </is>
      </c>
      <c r="H14" s="2155" t="inlineStr">
        <is>
          <t>G3</t>
        </is>
      </c>
      <c r="I14" s="1959" t="n"/>
      <c r="J14" s="1449" t="n"/>
      <c r="K14" s="1449" t="n"/>
      <c r="L14" s="1449" t="n"/>
      <c r="M14" s="1449" t="n"/>
      <c r="N14" s="1449" t="n"/>
      <c r="O14" s="1449" t="n"/>
      <c r="P14" s="2156" t="inlineStr">
        <is>
          <t>P3</t>
        </is>
      </c>
      <c r="Q14" s="1959" t="inlineStr">
        <is>
          <t>Dry kiln process</t>
        </is>
      </c>
      <c r="R14" s="1959" t="inlineStr">
        <is>
          <t>Cement</t>
        </is>
      </c>
      <c r="S14" s="1449">
        <f>IF(Summary_Processes!G35="","",INDEX(Translations!$C:$C,MATCH(Summary_Processes!G35,Translations!$B:$B,0)))</f>
        <v/>
      </c>
      <c r="T14" s="1449">
        <f>IF(Summary_Processes!H35="","",INDEX(Translations!$C:$C,MATCH(Summary_Processes!H35,Translations!$B:$B,0)))</f>
        <v/>
      </c>
      <c r="U14" s="1449">
        <f>IF(Summary_Processes!I35="","",INDEX(Translations!$C:$C,MATCH(Summary_Processes!I35,Translations!$B:$B,0)))</f>
        <v/>
      </c>
      <c r="V14" s="1449">
        <f>IF(Summary_Processes!J35="","",INDEX(Translations!$C:$C,MATCH(Summary_Processes!J35,Translations!$B:$B,0)))</f>
        <v/>
      </c>
      <c r="W14" s="1449">
        <f>IF(Summary_Processes!K35="","",INDEX(Translations!$C:$C,MATCH(Summary_Processes!K35,Translations!$B:$B,0)))</f>
        <v/>
      </c>
      <c r="X14" s="1449">
        <f>IF(Summary_Processes!L35="","",INDEX(Translations!$C:$C,MATCH(Summary_Processes!L35,Translations!$B:$B,0)))</f>
        <v/>
      </c>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6079827.609</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IN</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730492.596</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INXKN</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6810320.205</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59.1498946°</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119.8939809°</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Combination of calculation-based and measurement-based methodologies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45292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45657</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Third-party verification performed annually</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t>
        </is>
      </c>
      <c r="F26" s="2175" t="inlineStr">
        <is>
          <t>25231000</t>
        </is>
      </c>
      <c r="G26" s="1441" t="inlineStr">
        <is>
          <t>Cement clinkers</t>
        </is>
      </c>
      <c r="H26" s="1441" t="inlineStr">
        <is>
          <t>Example product A (batch 4)</t>
        </is>
      </c>
      <c r="I26" s="2176" t="n">
        <v>0.9609</v>
      </c>
      <c r="J26" s="2176" t="n">
        <v>0.041152</v>
      </c>
      <c r="K26" s="2176" t="n">
        <v>1.002052</v>
      </c>
      <c r="L26" s="2176" t="inlineStr">
        <is>
          <t>tCO2e/t</t>
        </is>
      </c>
      <c r="M26" s="2177" t="n">
        <v>0.0266</v>
      </c>
      <c r="N26" s="2176" t="inlineStr">
        <is>
          <t>PPA-specific factor</t>
        </is>
      </c>
      <c r="O26" s="2176" t="n">
        <v>1.67009</v>
      </c>
      <c r="P26" s="1698" t="n"/>
      <c r="Q26" s="1698" t="n"/>
      <c r="R26" s="2178" t="n"/>
      <c r="S26" s="2178" t="n"/>
      <c r="T26" s="2178" t="n"/>
      <c r="U26" s="2178" t="n"/>
      <c r="V26" s="2178" t="n"/>
      <c r="W26" s="2178" t="n"/>
      <c r="X26" s="2178" t="n"/>
      <c r="Y26" s="2178" t="n"/>
      <c r="Z26" s="2178" t="n"/>
      <c r="AA26" s="2178" t="n"/>
      <c r="AB26" s="2178" t="n">
        <v>0.7556</v>
      </c>
      <c r="AC26" s="2178" t="n"/>
      <c r="AD26" s="2178" t="n"/>
      <c r="AE26" s="2178" t="n"/>
      <c r="AF26" s="2178" t="n"/>
      <c r="AG26" s="2178" t="n"/>
      <c r="AH26" s="2178" t="n"/>
      <c r="AI26" s="2178" t="n"/>
      <c r="AJ26" s="2178" t="n"/>
      <c r="AK26" s="2178" t="n"/>
      <c r="AL26" s="1958" t="inlineStr">
        <is>
          <t>Fuel levy</t>
        </is>
      </c>
      <c r="AM26" s="2178" t="n">
        <v>0.5184</v>
      </c>
      <c r="AN26" s="2108" t="n">
        <v>0.205458</v>
      </c>
      <c r="AO26" s="2109" t="inlineStr">
        <is>
          <t>tCO2e/t</t>
        </is>
      </c>
      <c r="AP26" s="1698" t="inlineStr">
        <is>
          <t>KRW</t>
        </is>
      </c>
      <c r="AQ26" s="2113" t="n">
        <v>103.33</v>
      </c>
      <c r="AR26" s="1796" t="inlineStr">
        <is>
          <t>KRW/t</t>
        </is>
      </c>
      <c r="AS26" s="1958" t="inlineStr">
        <is>
          <t>Partial exemption</t>
        </is>
      </c>
      <c r="AT26" s="2178" t="n">
        <v>0.9049</v>
      </c>
      <c r="AU26" s="2108" t="n">
        <v>0.154061</v>
      </c>
      <c r="AV26" s="2109" t="inlineStr">
        <is>
          <t>tCO2e/t</t>
        </is>
      </c>
      <c r="AW26" s="2113" t="n">
        <v>46.37</v>
      </c>
      <c r="AX26" s="1796" t="inlineStr">
        <is>
          <t>KRW/t</t>
        </is>
      </c>
      <c r="AY26" s="2113" t="n">
        <v>56.96</v>
      </c>
      <c r="AZ26" s="2114" t="inlineStr">
        <is>
          <t>KRW/t</t>
        </is>
      </c>
      <c r="BC26" s="1361" t="n"/>
      <c r="BD26" s="1361" t="n"/>
      <c r="BE26" s="1361" t="n"/>
      <c r="BF26" s="1361" t="n"/>
    </row>
    <row r="27" ht="12.75" customHeight="1" s="1230">
      <c r="B27" s="2076" t="n"/>
      <c r="C27" s="2174" t="n">
        <v>2</v>
      </c>
      <c r="D27" s="1449" t="inlineStr">
        <is>
          <t>Wet kiln process</t>
        </is>
      </c>
      <c r="E27" s="1959" t="inlineStr">
        <is>
          <t>Cement</t>
        </is>
      </c>
      <c r="F27" s="2179" t="inlineStr">
        <is>
          <t>25233000</t>
        </is>
      </c>
      <c r="G27" s="1449" t="inlineStr">
        <is>
          <t>Aluminous cement</t>
        </is>
      </c>
      <c r="H27" s="1449" t="inlineStr">
        <is>
          <t>Example product B (batch 4)</t>
        </is>
      </c>
      <c r="I27" s="2180" t="n">
        <v>1.573626</v>
      </c>
      <c r="J27" s="2180" t="n">
        <v>0.122295</v>
      </c>
      <c r="K27" s="2180" t="n">
        <v>1.695921</v>
      </c>
      <c r="L27" s="2180" t="inlineStr">
        <is>
          <t>tCO2e/t</t>
        </is>
      </c>
      <c r="M27" s="2181" t="n">
        <v>0.2682</v>
      </c>
      <c r="N27" s="2180" t="inlineStr">
        <is>
          <t>D.4(a)</t>
        </is>
      </c>
      <c r="O27" s="2180" t="n">
        <v>0.60832</v>
      </c>
      <c r="P27" s="1704" t="n"/>
      <c r="Q27" s="1704" t="n"/>
      <c r="R27" s="2182" t="n"/>
      <c r="S27" s="2182" t="n"/>
      <c r="T27" s="2182" t="n"/>
      <c r="U27" s="2182" t="n"/>
      <c r="V27" s="2182" t="n"/>
      <c r="W27" s="2182" t="n"/>
      <c r="X27" s="2182" t="n"/>
      <c r="Y27" s="2182" t="n"/>
      <c r="Z27" s="2182" t="n"/>
      <c r="AA27" s="2182" t="n"/>
      <c r="AB27" s="2182" t="n">
        <v>0.7217</v>
      </c>
      <c r="AC27" s="2182" t="n"/>
      <c r="AD27" s="2182" t="n"/>
      <c r="AE27" s="2182" t="n"/>
      <c r="AF27" s="2182" t="n"/>
      <c r="AG27" s="2182" t="n"/>
      <c r="AH27" s="2182" t="n"/>
      <c r="AI27" s="2182" t="n"/>
      <c r="AJ27" s="2182" t="n"/>
      <c r="AK27" s="2182" t="n"/>
      <c r="AL27" s="1959" t="n"/>
      <c r="AM27" s="2182" t="n"/>
      <c r="AN27" s="2125" t="n"/>
      <c r="AO27" s="2126" t="n"/>
      <c r="AP27" s="1704" t="n"/>
      <c r="AQ27" s="2130" t="n"/>
      <c r="AR27" s="2126" t="n"/>
      <c r="AS27" s="1959" t="n"/>
      <c r="AT27" s="2182" t="n"/>
      <c r="AU27" s="2125" t="n"/>
      <c r="AV27" s="2126" t="n"/>
      <c r="AW27" s="2130" t="n"/>
      <c r="AX27" s="2126" t="n"/>
      <c r="AY27" s="2130" t="n"/>
      <c r="AZ27" s="2131" t="n"/>
      <c r="BC27" s="1361" t="n"/>
      <c r="BD27" s="1361" t="n"/>
      <c r="BE27" s="1361" t="n"/>
      <c r="BF27" s="1361" t="n"/>
    </row>
    <row r="28" ht="12.75" customHeight="1" s="1230">
      <c r="B28" s="2076" t="n"/>
      <c r="C28" s="2174" t="n">
        <v>3</v>
      </c>
      <c r="D28" s="1449" t="inlineStr">
        <is>
          <t>Dry kiln process</t>
        </is>
      </c>
      <c r="E28" s="1959" t="inlineStr">
        <is>
          <t>Cement</t>
        </is>
      </c>
      <c r="F28" s="2179" t="inlineStr">
        <is>
          <t>25232100</t>
        </is>
      </c>
      <c r="G28" s="1449" t="inlineStr">
        <is>
          <t>White Portland cement, whether or not artificially coloured</t>
        </is>
      </c>
      <c r="H28" s="1449" t="inlineStr">
        <is>
          <t>Example product C (batch 4)</t>
        </is>
      </c>
      <c r="I28" s="2180" t="n">
        <v>1.703865</v>
      </c>
      <c r="J28" s="2180" t="n">
        <v>0.404059</v>
      </c>
      <c r="K28" s="2180" t="n">
        <v>2.107924</v>
      </c>
      <c r="L28" s="2180" t="inlineStr">
        <is>
          <t>tCO2e/t</t>
        </is>
      </c>
      <c r="M28" s="2181" t="n">
        <v>0.07770000000000001</v>
      </c>
      <c r="N28" s="2180" t="inlineStr">
        <is>
          <t>Grid average factor</t>
        </is>
      </c>
      <c r="O28" s="2180" t="n">
        <v>1.21599</v>
      </c>
      <c r="P28" s="1704" t="n"/>
      <c r="Q28" s="1704" t="n"/>
      <c r="R28" s="2182" t="n"/>
      <c r="S28" s="2182" t="n"/>
      <c r="T28" s="2182" t="n"/>
      <c r="U28" s="2182" t="n"/>
      <c r="V28" s="2182" t="n"/>
      <c r="W28" s="2182" t="n"/>
      <c r="X28" s="2182" t="n"/>
      <c r="Y28" s="2182" t="n"/>
      <c r="Z28" s="2182" t="n"/>
      <c r="AA28" s="2182" t="n"/>
      <c r="AB28" s="2182" t="n">
        <v>0.9374</v>
      </c>
      <c r="AC28" s="2182" t="n"/>
      <c r="AD28" s="2182" t="n"/>
      <c r="AE28" s="2182" t="n"/>
      <c r="AF28" s="2182" t="n"/>
      <c r="AG28" s="2182" t="n"/>
      <c r="AH28" s="2182" t="n"/>
      <c r="AI28" s="2182" t="n"/>
      <c r="AJ28" s="2182" t="n"/>
      <c r="AK28" s="2182" t="n"/>
      <c r="AL28" s="1959" t="inlineStr">
        <is>
          <t>Fuel levy</t>
        </is>
      </c>
      <c r="AM28" s="2182" t="n">
        <v>0.9523</v>
      </c>
      <c r="AN28" s="2125" t="n">
        <v>0.676975</v>
      </c>
      <c r="AO28" s="2126" t="inlineStr">
        <is>
          <t>tCO2e/t</t>
        </is>
      </c>
      <c r="AP28" s="1704" t="inlineStr">
        <is>
          <t>KRW</t>
        </is>
      </c>
      <c r="AQ28" s="2130" t="n">
        <v>96.97</v>
      </c>
      <c r="AR28" s="2126" t="inlineStr">
        <is>
          <t>KRW/t</t>
        </is>
      </c>
      <c r="AS28" s="1959" t="n"/>
      <c r="AT28" s="2182" t="n"/>
      <c r="AU28" s="2125" t="n"/>
      <c r="AV28" s="2126" t="n"/>
      <c r="AW28" s="2130" t="n"/>
      <c r="AX28" s="2126" t="n"/>
      <c r="AY28" s="2130" t="n"/>
      <c r="AZ28" s="2131" t="n"/>
      <c r="BC28" s="1361" t="n"/>
      <c r="BD28" s="1361" t="n"/>
      <c r="BE28" s="1361" t="n"/>
      <c r="BF28" s="1361" t="n"/>
    </row>
    <row r="29" ht="12.75" customHeight="1" s="1230">
      <c r="B29" s="2076" t="n"/>
      <c r="C29" s="2174" t="n">
        <v>4</v>
      </c>
      <c r="D29" s="1449" t="inlineStr">
        <is>
          <t>Wet kiln process</t>
        </is>
      </c>
      <c r="E29" s="1959" t="inlineStr">
        <is>
          <t>Cement</t>
        </is>
      </c>
      <c r="F29" s="2179" t="inlineStr">
        <is>
          <t>25239000</t>
        </is>
      </c>
      <c r="G29" s="1449" t="inlineStr">
        <is>
          <t>Other hydraulic cements</t>
        </is>
      </c>
      <c r="H29" s="1449" t="inlineStr">
        <is>
          <t>Example product D (batch 4)</t>
        </is>
      </c>
      <c r="I29" s="2180" t="n">
        <v>1.075211</v>
      </c>
      <c r="J29" s="2180" t="n">
        <v>0.164451</v>
      </c>
      <c r="K29" s="2180" t="n">
        <v>1.239662</v>
      </c>
      <c r="L29" s="2180" t="inlineStr">
        <is>
          <t>tCO2e/t</t>
        </is>
      </c>
      <c r="M29" s="2181" t="n">
        <v>0.1327</v>
      </c>
      <c r="N29" s="2180" t="inlineStr">
        <is>
          <t>Grid average factor</t>
        </is>
      </c>
      <c r="O29" s="2180" t="n">
        <v>1.64962</v>
      </c>
      <c r="P29" s="1704" t="n"/>
      <c r="Q29" s="1704" t="n"/>
      <c r="R29" s="2182" t="n"/>
      <c r="S29" s="2182" t="n"/>
      <c r="T29" s="2182" t="n"/>
      <c r="U29" s="2182" t="n"/>
      <c r="V29" s="2182" t="n"/>
      <c r="W29" s="2182" t="n"/>
      <c r="X29" s="2182" t="n"/>
      <c r="Y29" s="2182" t="n"/>
      <c r="Z29" s="2182" t="n"/>
      <c r="AA29" s="2182" t="n"/>
      <c r="AB29" s="2182" t="n">
        <v>0.8567</v>
      </c>
      <c r="AC29" s="2182" t="n"/>
      <c r="AD29" s="2182" t="n"/>
      <c r="AE29" s="2182" t="n"/>
      <c r="AF29" s="2182" t="n"/>
      <c r="AG29" s="2182" t="n"/>
      <c r="AH29" s="2182" t="n"/>
      <c r="AI29" s="2182" t="n"/>
      <c r="AJ29" s="2182" t="n"/>
      <c r="AK29" s="2182" t="n"/>
      <c r="AL29" s="1959" t="inlineStr">
        <is>
          <t>Emissions Trading System</t>
        </is>
      </c>
      <c r="AM29" s="2182" t="n">
        <v>0.7913</v>
      </c>
      <c r="AN29" s="2125" t="n">
        <v>0.545915</v>
      </c>
      <c r="AO29" s="2126" t="inlineStr">
        <is>
          <t>tCO2e/t</t>
        </is>
      </c>
      <c r="AP29" s="1704" t="inlineStr">
        <is>
          <t>KRW</t>
        </is>
      </c>
      <c r="AQ29" s="2130" t="n">
        <v>108.91</v>
      </c>
      <c r="AR29" s="2126" t="inlineStr">
        <is>
          <t>KRW/t</t>
        </is>
      </c>
      <c r="AS29" s="1959" t="inlineStr">
        <is>
          <t>Free allocation equivalent</t>
        </is>
      </c>
      <c r="AT29" s="2182" t="n">
        <v>0.1944</v>
      </c>
      <c r="AU29" s="2125" t="n">
        <v>0.06216</v>
      </c>
      <c r="AV29" s="2126" t="inlineStr">
        <is>
          <t>tCO2e/t</t>
        </is>
      </c>
      <c r="AW29" s="2130" t="n">
        <v>35.06</v>
      </c>
      <c r="AX29" s="2126" t="inlineStr">
        <is>
          <t>KRW/t</t>
        </is>
      </c>
      <c r="AY29" s="2130" t="n">
        <v>73.84999999999999</v>
      </c>
      <c r="AZ29" s="2131" t="inlineStr">
        <is>
          <t>KRW/t</t>
        </is>
      </c>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2026-09-13T17:34:13Z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