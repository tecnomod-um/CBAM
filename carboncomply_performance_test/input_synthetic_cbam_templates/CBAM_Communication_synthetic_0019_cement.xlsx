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45566</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Porto Alegre Cement Plant 19</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Porto Alegre Cement Plant 19</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Steel Way, 102</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585607</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KKK</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Porto Alegre</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Brazil</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BREPL</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-32.8623462°</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163.5137423°</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Priya Hassan</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priya.hassan@example-cement.com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+14 530529691</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Porto Alegre Cement Plant 19</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Steel Way, 102</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Cement Bubble</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5872291.39</v>
      </c>
      <c r="AA13" s="1234" t="n"/>
      <c r="AB13" s="1981" t="n">
        <v>39924.461</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inlineStr">
        <is>
          <t>Dry kiln process</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5872291.39</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BR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1287063.136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BREPL</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7159354.526</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-32.8623462°</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163.5137423°</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national standard factors for e.g. the emission factor</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45566</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Cross-checked against fuel purchase invoices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Cement Bubble</t>
        </is>
      </c>
      <c r="E26" s="1958" t="inlineStr">
        <is>
          <t>Cement clinker</t>
        </is>
      </c>
      <c r="F26" s="2175" t="inlineStr">
        <is>
          <t>25231000</t>
        </is>
      </c>
      <c r="G26" s="1441" t="inlineStr">
        <is>
          <t>Cement clinkers</t>
        </is>
      </c>
      <c r="H26" s="1441" t="inlineStr">
        <is>
          <t>Example product A (batch 19)</t>
        </is>
      </c>
      <c r="I26" s="2176" t="n">
        <v>0.665597</v>
      </c>
      <c r="J26" s="2176" t="n">
        <v>0.258918</v>
      </c>
      <c r="K26" s="2176" t="n">
        <v>0.924515</v>
      </c>
      <c r="L26" s="2176" t="inlineStr">
        <is>
          <t>tCO2e/t</t>
        </is>
      </c>
      <c r="M26" s="2177" t="n">
        <v>0.0585</v>
      </c>
      <c r="N26" s="2176" t="inlineStr">
        <is>
          <t>Grid average factor</t>
        </is>
      </c>
      <c r="O26" s="2176" t="n">
        <v>1.50858</v>
      </c>
      <c r="P26" s="1698" t="n"/>
      <c r="Q26" s="1698" t="n"/>
      <c r="R26" s="2178" t="n"/>
      <c r="S26" s="2178" t="n"/>
      <c r="T26" s="2178" t="n"/>
      <c r="U26" s="2178" t="n"/>
      <c r="V26" s="2178" t="n"/>
      <c r="W26" s="2178" t="n"/>
      <c r="X26" s="2178" t="n"/>
      <c r="Y26" s="2178" t="n"/>
      <c r="Z26" s="2178" t="n"/>
      <c r="AA26" s="2178" t="n"/>
      <c r="AB26" s="2178" t="n">
        <v>0.9325</v>
      </c>
      <c r="AC26" s="2178" t="n"/>
      <c r="AD26" s="2178" t="n"/>
      <c r="AE26" s="2178" t="n"/>
      <c r="AF26" s="2178" t="n"/>
      <c r="AG26" s="2178" t="n"/>
      <c r="AH26" s="2178" t="n"/>
      <c r="AI26" s="2178" t="n"/>
      <c r="AJ26" s="2178" t="n"/>
      <c r="AK26" s="2178" t="n"/>
      <c r="AL26" s="1958" t="inlineStr">
        <is>
          <t>Carbon tax</t>
        </is>
      </c>
      <c r="AM26" s="2178" t="n">
        <v>0.6207</v>
      </c>
      <c r="AN26" s="2108" t="n">
        <v>0.033235</v>
      </c>
      <c r="AO26" s="2109" t="inlineStr">
        <is>
          <t>tCO2e/t</t>
        </is>
      </c>
      <c r="AP26" s="1698" t="inlineStr">
        <is>
          <t>COP</t>
        </is>
      </c>
      <c r="AQ26" s="2113" t="n">
        <v>71.04000000000001</v>
      </c>
      <c r="AR26" s="1796" t="inlineStr">
        <is>
          <t>COP/t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Cement Bubble</t>
        </is>
      </c>
      <c r="E27" s="1959" t="inlineStr">
        <is>
          <t>Cement</t>
        </is>
      </c>
      <c r="F27" s="2179" t="inlineStr">
        <is>
          <t>25232100</t>
        </is>
      </c>
      <c r="G27" s="1449" t="inlineStr">
        <is>
          <t>White Portland cement, whether or not artificially coloured</t>
        </is>
      </c>
      <c r="H27" s="1449" t="inlineStr">
        <is>
          <t>Example product B (batch 19)</t>
        </is>
      </c>
      <c r="I27" s="2180" t="n">
        <v>0.493749</v>
      </c>
      <c r="J27" s="2180" t="n">
        <v>0.465805</v>
      </c>
      <c r="K27" s="2180" t="n">
        <v>0.959554</v>
      </c>
      <c r="L27" s="2180" t="inlineStr">
        <is>
          <t>tCO2e/t</t>
        </is>
      </c>
      <c r="M27" s="2181" t="n">
        <v>0.206</v>
      </c>
      <c r="N27" s="2180" t="inlineStr">
        <is>
          <t>D.4(b)</t>
        </is>
      </c>
      <c r="O27" s="2180" t="n">
        <v>0.12068</v>
      </c>
      <c r="P27" s="1704" t="n"/>
      <c r="Q27" s="1704" t="n"/>
      <c r="R27" s="2182" t="n"/>
      <c r="S27" s="2182" t="n"/>
      <c r="T27" s="2182" t="n"/>
      <c r="U27" s="2182" t="n"/>
      <c r="V27" s="2182" t="n"/>
      <c r="W27" s="2182" t="n"/>
      <c r="X27" s="2182" t="n"/>
      <c r="Y27" s="2182" t="n"/>
      <c r="Z27" s="2182" t="n"/>
      <c r="AA27" s="2182" t="n"/>
      <c r="AB27" s="2182" t="n">
        <v>0.9461000000000001</v>
      </c>
      <c r="AC27" s="2182" t="n"/>
      <c r="AD27" s="2182" t="n"/>
      <c r="AE27" s="2182" t="n"/>
      <c r="AF27" s="2182" t="n"/>
      <c r="AG27" s="2182" t="n"/>
      <c r="AH27" s="2182" t="n"/>
      <c r="AI27" s="2182" t="n"/>
      <c r="AJ27" s="2182" t="n"/>
      <c r="AK27" s="2182" t="n"/>
      <c r="AL27" s="1959" t="inlineStr">
        <is>
          <t>Carbon tax and ETS</t>
        </is>
      </c>
      <c r="AM27" s="2182" t="n">
        <v>0.9575</v>
      </c>
      <c r="AN27" s="2125" t="n">
        <v>0.398181</v>
      </c>
      <c r="AO27" s="2126" t="inlineStr">
        <is>
          <t>tCO2e/t</t>
        </is>
      </c>
      <c r="AP27" s="1704" t="inlineStr">
        <is>
          <t>COP</t>
        </is>
      </c>
      <c r="AQ27" s="2130" t="n">
        <v>28.54</v>
      </c>
      <c r="AR27" s="2126" t="inlineStr">
        <is>
          <t>COP/t</t>
        </is>
      </c>
      <c r="AS27" s="1959" t="inlineStr">
        <is>
          <t>Free allocation equivalent</t>
        </is>
      </c>
      <c r="AT27" s="2182" t="n">
        <v>0.1049</v>
      </c>
      <c r="AU27" s="2125" t="n">
        <v>0.274885</v>
      </c>
      <c r="AV27" s="2126" t="inlineStr">
        <is>
          <t>tCO2e/t</t>
        </is>
      </c>
      <c r="AW27" s="2130" t="n">
        <v>10.13</v>
      </c>
      <c r="AX27" s="2126" t="inlineStr">
        <is>
          <t>COP/t</t>
        </is>
      </c>
      <c r="AY27" s="2130" t="n">
        <v>18.41</v>
      </c>
      <c r="AZ27" s="2131" t="inlineStr">
        <is>
          <t>COP/t</t>
        </is>
      </c>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2026-09-13T17:35:03Z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