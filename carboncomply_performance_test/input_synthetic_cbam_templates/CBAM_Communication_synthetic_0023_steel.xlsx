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Cebu City Steel Plant 23</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Cebu City Steel Plant 23</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Furnace Street, 86</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710337</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UNR</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Cebu City</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Philippines</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PHYKT</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34.5824712°</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-137.130312°</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Ahmed Gomez</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ahmed.gomez@example-steel.com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+14 657883783</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Cebu City Steel Plant 23</t>
        </is>
      </c>
      <c r="H12" s="816" t="inlineStr">
        <is>
          <t>G1</t>
        </is>
      </c>
      <c r="I12" s="643" t="inlineStr">
        <is>
          <t>Crude steel</t>
        </is>
      </c>
      <c r="J12" s="1087" t="n"/>
      <c r="K12" s="1087" t="n"/>
      <c r="L12" s="1087" t="n"/>
      <c r="M12" s="1087" t="n"/>
      <c r="N12" s="1087" t="n"/>
      <c r="O12" s="1087" t="n"/>
      <c r="P12" s="817" t="inlineStr">
        <is>
          <t>P1</t>
        </is>
      </c>
      <c r="Q12" s="643" t="inlineStr">
        <is>
          <t>Sintering</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Furnace Street, 86</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Sintered ore</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6800937.321</v>
      </c>
      <c r="AA13" s="1203" t="n"/>
      <c r="AB13" s="1191" t="n">
        <v>30675.945</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n"/>
      <c r="J14" s="1089" t="n"/>
      <c r="K14" s="1089" t="n"/>
      <c r="L14" s="1089" t="n"/>
      <c r="M14" s="1089" t="n"/>
      <c r="N14" s="1089" t="n"/>
      <c r="O14" s="1089" t="n"/>
      <c r="P14" s="817" t="inlineStr">
        <is>
          <t>P3</t>
        </is>
      </c>
      <c r="Q14" s="644" t="inlineStr">
        <is>
          <t>Other process</t>
        </is>
      </c>
      <c r="R14" s="644" t="inlineStr">
        <is>
          <t>DRI</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6800937.321</v>
      </c>
      <c r="AY15" s="242" t="n"/>
      <c r="AZ15" s="242" t="n"/>
      <c r="BA15" s="242" t="n"/>
      <c r="BB15" s="138" t="n"/>
      <c r="BC15" s="140" t="n"/>
      <c r="BD15" s="737" t="n"/>
      <c r="BE15" s="737" t="n"/>
      <c r="BF15" s="737" t="n"/>
    </row>
    <row r="16" ht="12.75" customHeight="1">
      <c r="C16" s="16" t="n"/>
      <c r="D16" s="167">
        <f>Translations!$C$80</f>
        <v/>
      </c>
      <c r="E16" s="167" t="n"/>
      <c r="F16" s="819" t="n"/>
      <c r="G16" s="644" t="inlineStr">
        <is>
          <t>PH</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347524.385</v>
      </c>
      <c r="AY16" s="242" t="n"/>
      <c r="AZ16" s="242" t="n"/>
      <c r="BA16" s="242" t="n"/>
      <c r="BB16" s="138" t="n"/>
      <c r="BC16" s="140" t="n"/>
      <c r="BD16" s="737" t="n"/>
      <c r="BE16" s="737" t="n"/>
      <c r="BF16" s="737" t="n"/>
    </row>
    <row r="17" ht="12.75" customHeight="1">
      <c r="C17" s="16" t="n"/>
      <c r="D17" s="167">
        <f>Translations!$C$81</f>
        <v/>
      </c>
      <c r="E17" s="167" t="n"/>
      <c r="F17" s="819" t="n"/>
      <c r="G17" s="644" t="inlineStr">
        <is>
          <t>PHYKT</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7148461.706</v>
      </c>
      <c r="AY17" s="242" t="n"/>
      <c r="AZ17" s="242" t="n"/>
      <c r="BA17" s="242" t="n"/>
      <c r="BB17" s="138" t="n"/>
      <c r="BC17" s="140" t="n"/>
      <c r="BD17" s="737" t="n"/>
      <c r="BE17" s="737" t="n"/>
      <c r="BF17" s="737" t="n"/>
    </row>
    <row r="18" ht="12.75" customHeight="1">
      <c r="C18" s="16" t="n"/>
      <c r="D18" s="167">
        <f>Translations!$C$82</f>
        <v/>
      </c>
      <c r="E18" s="167" t="n"/>
      <c r="F18" s="819" t="n"/>
      <c r="G18" s="644" t="inlineStr">
        <is>
          <t>34.5824712°</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-137.130312°</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national standard factors for e.g. the emission factor</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Cross-checked against fuel purchase invoices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Other process</t>
        </is>
      </c>
      <c r="E26" s="643" t="inlineStr">
        <is>
          <t>Crude steel</t>
        </is>
      </c>
      <c r="F26" s="835" t="inlineStr">
        <is>
          <t>72031000</t>
        </is>
      </c>
      <c r="G26" s="1087" t="inlineStr">
        <is>
          <t>Ferrous products obtained by direct reduction of iron ore</t>
        </is>
      </c>
      <c r="H26" s="1087" t="inlineStr">
        <is>
          <t>Example product A (batch 23)</t>
        </is>
      </c>
      <c r="I26" s="1309" t="n">
        <v>0.418872</v>
      </c>
      <c r="J26" s="1309" t="n">
        <v>0.066138</v>
      </c>
      <c r="K26" s="1309" t="n">
        <v>0.48501</v>
      </c>
      <c r="L26" s="1309" t="inlineStr">
        <is>
          <t>tCO2e/t</t>
        </is>
      </c>
      <c r="M26" s="837" t="n">
        <v>0.0244</v>
      </c>
      <c r="N26" s="1309" t="inlineStr">
        <is>
          <t>D.4(b)</t>
        </is>
      </c>
      <c r="O26" s="1309" t="n">
        <v>1.42844</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t>
        </is>
      </c>
      <c r="AM26" s="838" t="n">
        <v>0.7108</v>
      </c>
      <c r="AN26" s="1304" t="n">
        <v>0.060039</v>
      </c>
      <c r="AO26" s="1305" t="inlineStr">
        <is>
          <t>tCO2e/t</t>
        </is>
      </c>
      <c r="AP26" s="421" t="inlineStr">
        <is>
          <t>GEL</t>
        </is>
      </c>
      <c r="AQ26" s="775" t="n">
        <v>31.94</v>
      </c>
      <c r="AR26" s="501" t="inlineStr">
        <is>
          <t>GEL/t</t>
        </is>
      </c>
      <c r="AS26" s="643" t="inlineStr">
        <is>
          <t>Sector-specific reduction</t>
        </is>
      </c>
      <c r="AT26" s="838" t="n">
        <v>0.632</v>
      </c>
      <c r="AU26" s="1304" t="n">
        <v>0.038139</v>
      </c>
      <c r="AV26" s="1305" t="inlineStr">
        <is>
          <t>tCO2e/t</t>
        </is>
      </c>
      <c r="AW26" s="775" t="n">
        <v>13.64</v>
      </c>
      <c r="AX26" s="501" t="inlineStr">
        <is>
          <t>GEL/t</t>
        </is>
      </c>
      <c r="AY26" s="775" t="n">
        <v>18.3</v>
      </c>
      <c r="AZ26" s="776" t="inlineStr">
        <is>
          <t>GEL/t</t>
        </is>
      </c>
      <c r="BC26" s="140" t="n"/>
      <c r="BD26" s="140" t="n"/>
      <c r="BE26" s="140" t="n"/>
      <c r="BF26" s="140" t="n"/>
    </row>
    <row r="27" ht="12.75" customHeight="1">
      <c r="B27" s="738" t="n"/>
      <c r="C27" s="834" t="n">
        <v>2</v>
      </c>
      <c r="D27" s="1089" t="inlineStr">
        <is>
          <t>Electric arc furnace</t>
        </is>
      </c>
      <c r="E27" s="644" t="inlineStr">
        <is>
          <t>Sintered ore</t>
        </is>
      </c>
      <c r="F27" s="839" t="inlineStr">
        <is>
          <t>72081000</t>
        </is>
      </c>
      <c r="G27" s="1089" t="inlineStr">
        <is>
          <t>Flat-rolled products of iron or non-alloy steel, of a width of &gt;= 600 mm, in coils, simply hot-rolled</t>
        </is>
      </c>
      <c r="H27" s="1089" t="inlineStr">
        <is>
          <t>Example product B (batch 23)</t>
        </is>
      </c>
      <c r="I27" s="1310" t="n">
        <v>1.174698</v>
      </c>
      <c r="J27" s="1310" t="n">
        <v>0.232498</v>
      </c>
      <c r="K27" s="1310" t="n">
        <v>1.407196</v>
      </c>
      <c r="L27" s="1310" t="inlineStr">
        <is>
          <t>tCO2e/t</t>
        </is>
      </c>
      <c r="M27" s="841" t="n">
        <v>0.0796</v>
      </c>
      <c r="N27" s="1310" t="inlineStr">
        <is>
          <t>PPA-specific factor</t>
        </is>
      </c>
      <c r="O27" s="1310" t="n">
        <v>0.6153999999999999</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Carbon tax and ETS</t>
        </is>
      </c>
      <c r="AM27" s="842" t="n">
        <v>0.3512</v>
      </c>
      <c r="AN27" s="1306" t="n">
        <v>0.112321</v>
      </c>
      <c r="AO27" s="788" t="inlineStr">
        <is>
          <t>tCO2e/t</t>
        </is>
      </c>
      <c r="AP27" s="427" t="inlineStr">
        <is>
          <t>GEL</t>
        </is>
      </c>
      <c r="AQ27" s="792" t="n">
        <v>116.54</v>
      </c>
      <c r="AR27" s="788" t="inlineStr">
        <is>
          <t>GEL/t</t>
        </is>
      </c>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2026-09-13T17:35:17Z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