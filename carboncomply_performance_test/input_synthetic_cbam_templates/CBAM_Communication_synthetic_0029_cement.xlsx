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44835</v>
      </c>
      <c r="J9" s="1400" t="n"/>
      <c r="K9" s="1398">
        <f>Translations!$B$69</f>
        <v/>
      </c>
      <c r="L9" s="1399" t="n">
        <v>44926</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Da Nang Cement Plant 29</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Da Nang Cement Plant 29</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Industrial Ave, 78</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401188</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BET</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Da Nang</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Vietnam</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VNBQJ</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-16.5486855°</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-7.3565552°</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Priya Khan</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priya.khan@example-cement.com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+63 802577808</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Da Nang Cement Plant 29</t>
        </is>
      </c>
      <c r="H12" s="2155" t="inlineStr">
        <is>
          <t>G1</t>
        </is>
      </c>
      <c r="I12" s="1958" t="inlineStr">
        <is>
          <t>Cement clinker</t>
        </is>
      </c>
      <c r="J12" s="1441" t="n"/>
      <c r="K12" s="1441" t="n"/>
      <c r="L12" s="1441" t="n"/>
      <c r="M12" s="1441" t="n"/>
      <c r="N12" s="1441" t="n"/>
      <c r="O12" s="1441" t="n"/>
      <c r="P12" s="2156" t="inlineStr">
        <is>
          <t>P1</t>
        </is>
      </c>
      <c r="Q12" s="1958" t="inlineStr">
        <is>
          <t>Dry kiln process</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Industrial Ave, 78</t>
        </is>
      </c>
      <c r="H13" s="2155" t="inlineStr">
        <is>
          <t>G2</t>
        </is>
      </c>
      <c r="I13" s="1959" t="n"/>
      <c r="J13" s="1449" t="n"/>
      <c r="K13" s="1449" t="n"/>
      <c r="L13" s="1449" t="n"/>
      <c r="M13" s="1449" t="n"/>
      <c r="N13" s="1449" t="n"/>
      <c r="O13" s="1449" t="n"/>
      <c r="P13" s="2156" t="inlineStr">
        <is>
          <t>P2</t>
        </is>
      </c>
      <c r="Q13" s="1959" t="n"/>
      <c r="R13" s="1959" t="n"/>
      <c r="S13" s="1449" t="n"/>
      <c r="T13" s="1449" t="n"/>
      <c r="U13" s="1449" t="n"/>
      <c r="V13" s="1449" t="n"/>
      <c r="W13" s="1449" t="n"/>
      <c r="X13" s="1449" t="n"/>
      <c r="Y13" s="1206" t="n"/>
      <c r="Z13" s="1981" t="n">
        <v>2971692.013</v>
      </c>
      <c r="AA13" s="1234" t="n"/>
      <c r="AB13" s="1981" t="n">
        <v>24722.305</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2971692.013</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VN</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326728.373</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VNBQJ</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3298420.386</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-16.5486855°</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-7.3565552°</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Default values used where site-specific data was unavailable</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44835</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44926</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Third-party verification performed annually</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Dry kiln process</t>
        </is>
      </c>
      <c r="E26" s="1958" t="inlineStr">
        <is>
          <t>Cement clinker</t>
        </is>
      </c>
      <c r="F26" s="2175" t="inlineStr">
        <is>
          <t>25239000</t>
        </is>
      </c>
      <c r="G26" s="1441" t="inlineStr">
        <is>
          <t>Other hydraulic cements</t>
        </is>
      </c>
      <c r="H26" s="1441" t="inlineStr">
        <is>
          <t>Example product A (batch 29)</t>
        </is>
      </c>
      <c r="I26" s="2176" t="n">
        <v>1.613048</v>
      </c>
      <c r="J26" s="2176" t="n">
        <v>0.388332</v>
      </c>
      <c r="K26" s="2176" t="n">
        <v>2.00138</v>
      </c>
      <c r="L26" s="2176" t="inlineStr">
        <is>
          <t>tCO2e/t</t>
        </is>
      </c>
      <c r="M26" s="2177" t="n">
        <v>0.2431</v>
      </c>
      <c r="N26" s="2176" t="inlineStr">
        <is>
          <t>D.4(a)</t>
        </is>
      </c>
      <c r="O26" s="2176" t="n">
        <v>1.36726</v>
      </c>
      <c r="P26" s="1698" t="n"/>
      <c r="Q26" s="1698" t="n"/>
      <c r="R26" s="2178" t="n"/>
      <c r="S26" s="2178" t="n"/>
      <c r="T26" s="2178" t="n"/>
      <c r="U26" s="2178" t="n"/>
      <c r="V26" s="2178" t="n"/>
      <c r="W26" s="2178" t="n"/>
      <c r="X26" s="2178" t="n"/>
      <c r="Y26" s="2178" t="n"/>
      <c r="Z26" s="2178" t="n"/>
      <c r="AA26" s="2178" t="n"/>
      <c r="AB26" s="2178" t="n">
        <v>0.8784</v>
      </c>
      <c r="AC26" s="2178" t="n"/>
      <c r="AD26" s="2178" t="n"/>
      <c r="AE26" s="2178" t="n"/>
      <c r="AF26" s="2178" t="n"/>
      <c r="AG26" s="2178" t="n"/>
      <c r="AH26" s="2178" t="n"/>
      <c r="AI26" s="2178" t="n"/>
      <c r="AJ26" s="2178" t="n"/>
      <c r="AK26" s="2178" t="n"/>
      <c r="AL26" s="1958" t="n"/>
      <c r="AM26" s="2178" t="n"/>
      <c r="AN26" s="2108" t="n"/>
      <c r="AO26" s="2109" t="n"/>
      <c r="AP26" s="1698" t="n"/>
      <c r="AQ26" s="2113" t="n"/>
      <c r="AR26" s="1796" t="n"/>
      <c r="AS26" s="1958" t="n"/>
      <c r="AT26" s="2178" t="n"/>
      <c r="AU26" s="2108" t="n"/>
      <c r="AV26" s="2109" t="n"/>
      <c r="AW26" s="2113" t="n"/>
      <c r="AX26" s="1796" t="n"/>
      <c r="AY26" s="2113" t="n"/>
      <c r="AZ26" s="2114" t="n"/>
      <c r="BC26" s="1361" t="n"/>
      <c r="BD26" s="1361" t="n"/>
      <c r="BE26" s="1361" t="n"/>
      <c r="BF26" s="1361" t="n"/>
    </row>
    <row r="27" ht="12.75" customHeight="1" s="1230">
      <c r="B27" s="2076" t="n"/>
      <c r="C27" s="2174" t="n"/>
      <c r="D27" s="1449" t="n"/>
      <c r="E27" s="1959" t="n"/>
      <c r="F27" s="2179" t="n"/>
      <c r="G27" s="1449" t="n"/>
      <c r="H27" s="1449" t="n"/>
      <c r="I27" s="2180" t="n"/>
      <c r="J27" s="2180" t="n"/>
      <c r="K27" s="2180" t="n"/>
      <c r="L27" s="2180" t="n"/>
      <c r="M27" s="2181" t="n"/>
      <c r="N27" s="2180" t="n"/>
      <c r="O27" s="2180" t="n"/>
      <c r="P27" s="1704" t="n"/>
      <c r="Q27" s="1704" t="n"/>
      <c r="R27" s="2182" t="n"/>
      <c r="S27" s="2182" t="n"/>
      <c r="T27" s="2182" t="n"/>
      <c r="U27" s="2182" t="n"/>
      <c r="V27" s="2182" t="n"/>
      <c r="W27" s="2182" t="n"/>
      <c r="X27" s="2182" t="n"/>
      <c r="Y27" s="2182" t="n"/>
      <c r="Z27" s="2182" t="n"/>
      <c r="AA27" s="2182" t="n"/>
      <c r="AB27" s="2182" t="n"/>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2026-09-13T17:35:37Z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