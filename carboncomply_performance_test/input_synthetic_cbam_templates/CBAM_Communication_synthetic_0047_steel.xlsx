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Ulsan Steel Plant 47</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Ulsan Steel Plant 47</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Factory Park, 106</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266716</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HRS</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Ulsan</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South Korea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KRNIN</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-31.9757714°</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-64.4944819°</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Igor Tanaka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igor.tanaka@example-steel.com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+34 641794387</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Ulsan Steel Plant 47</t>
        </is>
      </c>
      <c r="H12" s="816" t="inlineStr">
        <is>
          <t>G1</t>
        </is>
      </c>
      <c r="I12" s="643" t="inlineStr">
        <is>
          <t>Crude steel</t>
        </is>
      </c>
      <c r="J12" s="1087" t="n"/>
      <c r="K12" s="1087" t="n"/>
      <c r="L12" s="1087" t="n"/>
      <c r="M12" s="1087" t="n"/>
      <c r="N12" s="1087" t="n"/>
      <c r="O12" s="1087" t="n"/>
      <c r="P12" s="817" t="inlineStr">
        <is>
          <t>P1</t>
        </is>
      </c>
      <c r="Q12" s="643" t="inlineStr">
        <is>
          <t>Sintering</t>
        </is>
      </c>
      <c r="R12" s="643" t="inlineStr">
        <is>
          <t>Sintered ore</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Factory Park, 106</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n"/>
      <c r="R13" s="644" t="n"/>
      <c r="S13" s="1089" t="n"/>
      <c r="T13" s="1089" t="n"/>
      <c r="U13" s="1089" t="n"/>
      <c r="V13" s="1089" t="n"/>
      <c r="W13" s="1089" t="n"/>
      <c r="X13" s="1089" t="n"/>
      <c r="Y13" s="16" t="n"/>
      <c r="Z13" s="1191" t="n">
        <v>7170474.078</v>
      </c>
      <c r="AA13" s="1203" t="n"/>
      <c r="AB13" s="1191" t="n">
        <v>295882.909</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7170474.078</v>
      </c>
      <c r="AY15" s="242" t="n"/>
      <c r="AZ15" s="242" t="n"/>
      <c r="BA15" s="242" t="n"/>
      <c r="BB15" s="138" t="n"/>
      <c r="BC15" s="140" t="n"/>
      <c r="BD15" s="737" t="n"/>
      <c r="BE15" s="737" t="n"/>
      <c r="BF15" s="737" t="n"/>
    </row>
    <row r="16" ht="12.75" customHeight="1">
      <c r="C16" s="16" t="n"/>
      <c r="D16" s="167">
        <f>Translations!$C$80</f>
        <v/>
      </c>
      <c r="E16" s="167" t="n"/>
      <c r="F16" s="819" t="n"/>
      <c r="G16" s="644" t="inlineStr">
        <is>
          <t>KR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681387.861</v>
      </c>
      <c r="AY16" s="242" t="n"/>
      <c r="AZ16" s="242" t="n"/>
      <c r="BA16" s="242" t="n"/>
      <c r="BB16" s="138" t="n"/>
      <c r="BC16" s="140" t="n"/>
      <c r="BD16" s="737" t="n"/>
      <c r="BE16" s="737" t="n"/>
      <c r="BF16" s="737" t="n"/>
    </row>
    <row r="17" ht="12.75" customHeight="1">
      <c r="C17" s="16" t="n"/>
      <c r="D17" s="167">
        <f>Translations!$C$81</f>
        <v/>
      </c>
      <c r="E17" s="167" t="n"/>
      <c r="F17" s="819" t="n"/>
      <c r="G17" s="644" t="inlineStr">
        <is>
          <t>KRNIN</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7851861.939</v>
      </c>
      <c r="AY17" s="242" t="n"/>
      <c r="AZ17" s="242" t="n"/>
      <c r="BA17" s="242" t="n"/>
      <c r="BB17" s="138" t="n"/>
      <c r="BC17" s="140" t="n"/>
      <c r="BD17" s="737" t="n"/>
      <c r="BE17" s="737" t="n"/>
      <c r="BF17" s="737" t="n"/>
    </row>
    <row r="18" ht="12.75" customHeight="1">
      <c r="C18" s="16" t="n"/>
      <c r="D18" s="167">
        <f>Translations!$C$82</f>
        <v/>
      </c>
      <c r="E18" s="167" t="n"/>
      <c r="F18" s="819" t="n"/>
      <c r="G18" s="644" t="inlineStr">
        <is>
          <t>-31.9757714°</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-64.4944819°</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Third-party verification performed annually</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Sintering</t>
        </is>
      </c>
      <c r="E26" s="643" t="inlineStr">
        <is>
          <t>Crude steel</t>
        </is>
      </c>
      <c r="F26" s="835" t="inlineStr">
        <is>
          <t>72122000</t>
        </is>
      </c>
      <c r="G26" s="1087" t="inlineStr">
        <is>
          <t>Flat-rolled products of iron or non-alloy steel, of a width of &lt; 600 mm, electrolytically plated or coated with zinc</t>
        </is>
      </c>
      <c r="H26" s="1087" t="inlineStr">
        <is>
          <t>Example product A (batch 47)</t>
        </is>
      </c>
      <c r="I26" s="1309" t="n">
        <v>0.52259</v>
      </c>
      <c r="J26" s="1309" t="n">
        <v>0.302561</v>
      </c>
      <c r="K26" s="1309" t="n">
        <v>0.825151</v>
      </c>
      <c r="L26" s="1309" t="inlineStr">
        <is>
          <t>tCO2e/t</t>
        </is>
      </c>
      <c r="M26" s="837" t="n">
        <v>0.1985</v>
      </c>
      <c r="N26" s="1309" t="inlineStr">
        <is>
          <t>D.4(c)</t>
        </is>
      </c>
      <c r="O26" s="1309" t="n">
        <v>0.18494</v>
      </c>
      <c r="P26" s="421" t="n"/>
      <c r="Q26" s="421" t="inlineStr">
        <is>
          <t>166426</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Emissions Trading System</t>
        </is>
      </c>
      <c r="AM26" s="838" t="n">
        <v>0.8656</v>
      </c>
      <c r="AN26" s="1304" t="n">
        <v>0.801157</v>
      </c>
      <c r="AO26" s="1305" t="inlineStr">
        <is>
          <t>tCO2e/t</t>
        </is>
      </c>
      <c r="AP26" s="421" t="inlineStr">
        <is>
          <t>ZAR</t>
        </is>
      </c>
      <c r="AQ26" s="775" t="n">
        <v>65.77</v>
      </c>
      <c r="AR26" s="501" t="inlineStr">
        <is>
          <t>ZAR/t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Pig iron</t>
        </is>
      </c>
      <c r="F27" s="839" t="inlineStr">
        <is>
          <t>73181900</t>
        </is>
      </c>
      <c r="G27" s="1089" t="inlineStr">
        <is>
          <t>Threaded articles of iron or steel, other than screws, bolts, nuts and coach screws</t>
        </is>
      </c>
      <c r="H27" s="1089" t="inlineStr">
        <is>
          <t>Example product B (batch 47)</t>
        </is>
      </c>
      <c r="I27" s="1310" t="n">
        <v>1.374593</v>
      </c>
      <c r="J27" s="1310" t="n">
        <v>0.190957</v>
      </c>
      <c r="K27" s="1310" t="n">
        <v>1.56555</v>
      </c>
      <c r="L27" s="1310" t="inlineStr">
        <is>
          <t>tCO2e/t</t>
        </is>
      </c>
      <c r="M27" s="841" t="n">
        <v>0.2305</v>
      </c>
      <c r="N27" s="1310" t="inlineStr">
        <is>
          <t>D.4(a)</t>
        </is>
      </c>
      <c r="O27" s="1310" t="n">
        <v>0.06984</v>
      </c>
      <c r="P27" s="427" t="n"/>
      <c r="Q27" s="427" t="inlineStr">
        <is>
          <t>852982</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0.3623</v>
      </c>
      <c r="AN27" s="1306" t="n">
        <v>0.975876</v>
      </c>
      <c r="AO27" s="788" t="inlineStr">
        <is>
          <t>tCO2e/t</t>
        </is>
      </c>
      <c r="AP27" s="427" t="inlineStr">
        <is>
          <t>ZAR</t>
        </is>
      </c>
      <c r="AQ27" s="792" t="n">
        <v>118.93</v>
      </c>
      <c r="AR27" s="788" t="inlineStr">
        <is>
          <t>ZAR/t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Sintering</t>
        </is>
      </c>
      <c r="E28" s="644" t="inlineStr">
        <is>
          <t>Pig iron</t>
        </is>
      </c>
      <c r="F28" s="839" t="inlineStr">
        <is>
          <t>72081000</t>
        </is>
      </c>
      <c r="G28" s="1089" t="inlineStr">
        <is>
          <t>Flat-rolled products of iron or non-alloy steel, of a width of &gt;= 600 mm, in coils, simply hot-rolled</t>
        </is>
      </c>
      <c r="H28" s="1089" t="inlineStr">
        <is>
          <t>Example product C (batch 47)</t>
        </is>
      </c>
      <c r="I28" s="1310" t="n">
        <v>1.908127</v>
      </c>
      <c r="J28" s="1310" t="n">
        <v>0.478176</v>
      </c>
      <c r="K28" s="1310" t="n">
        <v>2.386303</v>
      </c>
      <c r="L28" s="1310" t="inlineStr">
        <is>
          <t>tCO2e/t</t>
        </is>
      </c>
      <c r="M28" s="841" t="n">
        <v>0.1414</v>
      </c>
      <c r="N28" s="1310" t="inlineStr">
        <is>
          <t>D.4(b)</t>
        </is>
      </c>
      <c r="O28" s="1310" t="n">
        <v>0.89675</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0.6135</v>
      </c>
      <c r="AN28" s="1306" t="n">
        <v>1.118449</v>
      </c>
      <c r="AO28" s="788" t="inlineStr">
        <is>
          <t>tCO2e/t</t>
        </is>
      </c>
      <c r="AP28" s="427" t="inlineStr">
        <is>
          <t>ZAR</t>
        </is>
      </c>
      <c r="AQ28" s="792" t="n">
        <v>78.75</v>
      </c>
      <c r="AR28" s="788" t="inlineStr">
        <is>
          <t>ZAR/t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Sintering</t>
        </is>
      </c>
      <c r="E29" s="644" t="inlineStr">
        <is>
          <t>Crude steel</t>
        </is>
      </c>
      <c r="F29" s="839" t="inlineStr">
        <is>
          <t>72071190</t>
        </is>
      </c>
      <c r="G29" s="1089" t="inlineStr">
        <is>
          <t>Semi-finished products of iron or non-alloy steel, containing &lt; 0,25% carbon, other than of rectangular cross-section</t>
        </is>
      </c>
      <c r="H29" s="1089" t="inlineStr">
        <is>
          <t>Example product D (batch 47)</t>
        </is>
      </c>
      <c r="I29" s="1310" t="n">
        <v>2.456528</v>
      </c>
      <c r="J29" s="1310" t="n">
        <v>0.429536</v>
      </c>
      <c r="K29" s="1310" t="n">
        <v>2.886064</v>
      </c>
      <c r="L29" s="1310" t="inlineStr">
        <is>
          <t>tCO2e/t</t>
        </is>
      </c>
      <c r="M29" s="841" t="n">
        <v>0.1179</v>
      </c>
      <c r="N29" s="1310" t="inlineStr">
        <is>
          <t>PPA-specific factor</t>
        </is>
      </c>
      <c r="O29" s="1310" t="n">
        <v>1.73997</v>
      </c>
      <c r="P29" s="427" t="n"/>
      <c r="Q29" s="427" t="inlineStr">
        <is>
          <t>707656</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Carbon tax and ETS</t>
        </is>
      </c>
      <c r="AM29" s="842" t="n">
        <v>0.6179</v>
      </c>
      <c r="AN29" s="1306" t="n">
        <v>0.125419</v>
      </c>
      <c r="AO29" s="788" t="inlineStr">
        <is>
          <t>tCO2e/t</t>
        </is>
      </c>
      <c r="AP29" s="427" t="inlineStr">
        <is>
          <t>ZAR</t>
        </is>
      </c>
      <c r="AQ29" s="792" t="n">
        <v>32.42</v>
      </c>
      <c r="AR29" s="788" t="inlineStr">
        <is>
          <t>ZAR/t</t>
        </is>
      </c>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Sintering</t>
        </is>
      </c>
      <c r="E30" s="644" t="inlineStr">
        <is>
          <t>Pig iron</t>
        </is>
      </c>
      <c r="F30" s="839" t="inlineStr">
        <is>
          <t>72031000</t>
        </is>
      </c>
      <c r="G30" s="1089" t="inlineStr">
        <is>
          <t>Ferrous products obtained by direct reduction of iron ore</t>
        </is>
      </c>
      <c r="H30" s="1089" t="inlineStr">
        <is>
          <t>Example product E (batch 47)</t>
        </is>
      </c>
      <c r="I30" s="1310" t="n">
        <v>1.143341</v>
      </c>
      <c r="J30" s="1310" t="n">
        <v>0.032835</v>
      </c>
      <c r="K30" s="1310" t="n">
        <v>1.176176</v>
      </c>
      <c r="L30" s="1310" t="inlineStr">
        <is>
          <t>tCO2e/t</t>
        </is>
      </c>
      <c r="M30" s="841" t="n">
        <v>0.08550000000000001</v>
      </c>
      <c r="N30" s="1310" t="inlineStr">
        <is>
          <t>D.4(b)</t>
        </is>
      </c>
      <c r="O30" s="1310" t="n">
        <v>0.22417</v>
      </c>
      <c r="P30" s="427" t="n"/>
      <c r="Q30" s="427" t="inlineStr">
        <is>
          <t>684343</t>
        </is>
      </c>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2026-09-13T17:36:37Z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