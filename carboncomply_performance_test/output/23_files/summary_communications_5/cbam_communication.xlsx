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Another City Steel Plant 15</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Another City Steel Plant 15</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Furnace Street, 77</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490785</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RHT</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Another City</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Colombia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COFQP</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-50.9373701°</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59.2771259°</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Maria Hassan</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maria.hassan@example-steel.com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+49 442262074</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Another City Steel Plant 15</t>
        </is>
      </c>
      <c r="H12" s="816" t="inlineStr">
        <is>
          <t>G1</t>
        </is>
      </c>
      <c r="I12" s="643" t="inlineStr">
        <is>
          <t>Sintered ore</t>
        </is>
      </c>
      <c r="J12" s="1087" t="n"/>
      <c r="K12" s="1087" t="n"/>
      <c r="L12" s="1087" t="n"/>
      <c r="M12" s="1087" t="n"/>
      <c r="N12" s="1087" t="n"/>
      <c r="O12" s="1087" t="n"/>
      <c r="P12" s="817" t="inlineStr">
        <is>
          <t>P1</t>
        </is>
      </c>
      <c r="Q12" s="643" t="inlineStr">
        <is>
          <t>Blast furnace route</t>
        </is>
      </c>
      <c r="R12" s="643" t="inlineStr">
        <is>
          <t>Sintered ore</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Furnace Street, 77</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n"/>
      <c r="R13" s="644" t="n"/>
      <c r="S13" s="1089" t="n"/>
      <c r="T13" s="1089" t="n"/>
      <c r="U13" s="1089" t="n"/>
      <c r="V13" s="1089" t="n"/>
      <c r="W13" s="1089" t="n"/>
      <c r="X13" s="1089" t="n"/>
      <c r="Y13" s="16" t="n"/>
      <c r="Z13" s="1191" t="n">
        <v>1687403.939</v>
      </c>
      <c r="AA13" s="1203" t="n"/>
      <c r="AB13" s="1191" t="n">
        <v>68835.678</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inlineStr">
        <is>
          <t>Pig iron</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1687403.939</v>
      </c>
      <c r="AY15" s="242" t="n"/>
      <c r="AZ15" s="242" t="n"/>
      <c r="BA15" s="242" t="n"/>
      <c r="BB15" s="138" t="n"/>
      <c r="BC15" s="140" t="n"/>
      <c r="BD15" s="737" t="n"/>
      <c r="BE15" s="737" t="n"/>
      <c r="BF15" s="737" t="n"/>
    </row>
    <row r="16" ht="12.75" customHeight="1">
      <c r="C16" s="16" t="n"/>
      <c r="D16" s="167">
        <f>Translations!$C$80</f>
        <v/>
      </c>
      <c r="E16" s="167" t="n"/>
      <c r="F16" s="819" t="n"/>
      <c r="G16" s="644" t="inlineStr">
        <is>
          <t>CO</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194703.408</v>
      </c>
      <c r="AY16" s="242" t="n"/>
      <c r="AZ16" s="242" t="n"/>
      <c r="BA16" s="242" t="n"/>
      <c r="BB16" s="138" t="n"/>
      <c r="BC16" s="140" t="n"/>
      <c r="BD16" s="737" t="n"/>
      <c r="BE16" s="737" t="n"/>
      <c r="BF16" s="737" t="n"/>
    </row>
    <row r="17" ht="12.75" customHeight="1">
      <c r="C17" s="16" t="n"/>
      <c r="D17" s="167">
        <f>Translations!$C$81</f>
        <v/>
      </c>
      <c r="E17" s="167" t="n"/>
      <c r="F17" s="819" t="n"/>
      <c r="G17" s="644" t="inlineStr">
        <is>
          <t>COFQP</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1882107.347</v>
      </c>
      <c r="AY17" s="242" t="n"/>
      <c r="AZ17" s="242" t="n"/>
      <c r="BA17" s="242" t="n"/>
      <c r="BB17" s="138" t="n"/>
      <c r="BC17" s="140" t="n"/>
      <c r="BD17" s="737" t="n"/>
      <c r="BE17" s="737" t="n"/>
      <c r="BF17" s="737" t="n"/>
    </row>
    <row r="18" ht="12.75" customHeight="1">
      <c r="C18" s="16" t="n"/>
      <c r="D18" s="167">
        <f>Translations!$C$82</f>
        <v/>
      </c>
      <c r="E18" s="167" t="n"/>
      <c r="F18" s="819" t="n"/>
      <c r="G18" s="644" t="inlineStr">
        <is>
          <t>-50.9373701°</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59.2771259°</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DRI</t>
        </is>
      </c>
      <c r="F26" s="835" t="inlineStr">
        <is>
          <t>72071190</t>
        </is>
      </c>
      <c r="G26" s="1087" t="inlineStr">
        <is>
          <t>Semi-finished products of iron or non-alloy steel, containing &lt; 0,25% carbon, other than of rectangular cross-section</t>
        </is>
      </c>
      <c r="H26" s="1087" t="inlineStr">
        <is>
          <t>Example product A (batch 15)</t>
        </is>
      </c>
      <c r="I26" s="1309" t="n">
        <v>2.431751</v>
      </c>
      <c r="J26" s="1309" t="n">
        <v>0.009716000000000001</v>
      </c>
      <c r="K26" s="1309" t="n">
        <v>2.441467</v>
      </c>
      <c r="L26" s="1309" t="inlineStr">
        <is>
          <t>tCO2e/t</t>
        </is>
      </c>
      <c r="M26" s="837" t="n">
        <v>0.1533</v>
      </c>
      <c r="N26" s="1309" t="inlineStr">
        <is>
          <t>D.4(c)</t>
        </is>
      </c>
      <c r="O26" s="1309" t="n">
        <v>1.61352</v>
      </c>
      <c r="P26" s="421" t="n"/>
      <c r="Q26" s="421" t="inlineStr">
        <is>
          <t>668854</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0.2806</v>
      </c>
      <c r="AN26" s="1304" t="n">
        <v>0.114767</v>
      </c>
      <c r="AO26" s="1305" t="inlineStr">
        <is>
          <t>tCO2e/t</t>
        </is>
      </c>
      <c r="AP26" s="421" t="inlineStr">
        <is>
          <t>THB</t>
        </is>
      </c>
      <c r="AQ26" s="775" t="n">
        <v>112.17</v>
      </c>
      <c r="AR26" s="501" t="inlineStr">
        <is>
          <t>THB/t</t>
        </is>
      </c>
      <c r="AS26" s="643" t="inlineStr">
        <is>
          <t>Free allocation equivalent</t>
        </is>
      </c>
      <c r="AT26" s="838" t="n">
        <v>0.5724</v>
      </c>
      <c r="AU26" s="1304" t="n">
        <v>0.064402</v>
      </c>
      <c r="AV26" s="1305" t="inlineStr">
        <is>
          <t>tCO2e/t</t>
        </is>
      </c>
      <c r="AW26" s="775" t="n">
        <v>19</v>
      </c>
      <c r="AX26" s="501" t="inlineStr">
        <is>
          <t>THB/t</t>
        </is>
      </c>
      <c r="AY26" s="775" t="n">
        <v>93.17</v>
      </c>
      <c r="AZ26" s="776" t="inlineStr">
        <is>
          <t>THB/t</t>
        </is>
      </c>
      <c r="BC26" s="140" t="n"/>
      <c r="BD26" s="140" t="n"/>
      <c r="BE26" s="140" t="n"/>
      <c r="BF26" s="140" t="n"/>
    </row>
    <row r="27" ht="12.75" customHeight="1">
      <c r="B27" s="738" t="n"/>
      <c r="C27" s="834" t="n">
        <v>2</v>
      </c>
      <c r="D27" s="1089" t="inlineStr">
        <is>
          <t>Blast furnace route</t>
        </is>
      </c>
      <c r="E27" s="644" t="inlineStr">
        <is>
          <t>Pig iron</t>
        </is>
      </c>
      <c r="F27" s="839" t="inlineStr">
        <is>
          <t>72081000</t>
        </is>
      </c>
      <c r="G27" s="1089" t="inlineStr">
        <is>
          <t>Flat-rolled products of iron or non-alloy steel, of a width of &gt;= 600 mm, in coils, simply hot-rolled</t>
        </is>
      </c>
      <c r="H27" s="1089" t="inlineStr">
        <is>
          <t>Example product B (batch 15)</t>
        </is>
      </c>
      <c r="I27" s="1310" t="n">
        <v>1.667982</v>
      </c>
      <c r="J27" s="1310" t="n">
        <v>0.333752</v>
      </c>
      <c r="K27" s="1310" t="n">
        <v>2.001734</v>
      </c>
      <c r="L27" s="1310" t="inlineStr">
        <is>
          <t>tCO2e/t</t>
        </is>
      </c>
      <c r="M27" s="841" t="n">
        <v>0.0332</v>
      </c>
      <c r="N27" s="1310" t="inlineStr">
        <is>
          <t>D.4(a)</t>
        </is>
      </c>
      <c r="O27" s="1310" t="n">
        <v>0.09798</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Blast furnace route</t>
        </is>
      </c>
      <c r="E28" s="644" t="inlineStr">
        <is>
          <t>Pig iron</t>
        </is>
      </c>
      <c r="F28" s="839" t="inlineStr">
        <is>
          <t>72031000</t>
        </is>
      </c>
      <c r="G28" s="1089" t="inlineStr">
        <is>
          <t>Ferrous products obtained by direct reduction of iron ore</t>
        </is>
      </c>
      <c r="H28" s="1089" t="inlineStr">
        <is>
          <t>Example product C (batch 15)</t>
        </is>
      </c>
      <c r="I28" s="1310" t="n">
        <v>0.497977</v>
      </c>
      <c r="J28" s="1310" t="n">
        <v>0.376623</v>
      </c>
      <c r="K28" s="1310" t="n">
        <v>0.8746</v>
      </c>
      <c r="L28" s="1310" t="inlineStr">
        <is>
          <t>tCO2e/t</t>
        </is>
      </c>
      <c r="M28" s="841" t="n">
        <v>0.0508</v>
      </c>
      <c r="N28" s="1310" t="inlineStr">
        <is>
          <t>D.4(a)</t>
        </is>
      </c>
      <c r="O28" s="1310" t="n">
        <v>1.83304</v>
      </c>
      <c r="P28" s="427" t="n"/>
      <c r="Q28" s="427" t="inlineStr">
        <is>
          <t>284508</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0.4506</v>
      </c>
      <c r="AN28" s="1306" t="n">
        <v>0.195904</v>
      </c>
      <c r="AO28" s="788" t="inlineStr">
        <is>
          <t>tCO2e/t</t>
        </is>
      </c>
      <c r="AP28" s="427" t="inlineStr">
        <is>
          <t>THB</t>
        </is>
      </c>
      <c r="AQ28" s="792" t="n">
        <v>89.56999999999999</v>
      </c>
      <c r="AR28" s="788" t="inlineStr">
        <is>
          <t>THB/t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Blast furnace route</t>
        </is>
      </c>
      <c r="E29" s="644" t="inlineStr">
        <is>
          <t>Crude steel</t>
        </is>
      </c>
      <c r="F29" s="839" t="inlineStr">
        <is>
          <t>72122000</t>
        </is>
      </c>
      <c r="G29" s="1089" t="inlineStr">
        <is>
          <t>Flat-rolled products of iron or non-alloy steel, of a width of &lt; 600 mm, electrolytically plated or coated with zinc</t>
        </is>
      </c>
      <c r="H29" s="1089" t="inlineStr">
        <is>
          <t>Example product D (batch 15)</t>
        </is>
      </c>
      <c r="I29" s="1310" t="n">
        <v>1.6045</v>
      </c>
      <c r="J29" s="1310" t="n">
        <v>0.417867</v>
      </c>
      <c r="K29" s="1310" t="n">
        <v>2.022367</v>
      </c>
      <c r="L29" s="1310" t="inlineStr">
        <is>
          <t>tCO2e/t</t>
        </is>
      </c>
      <c r="M29" s="841" t="n">
        <v>0.1268</v>
      </c>
      <c r="N29" s="1310" t="inlineStr">
        <is>
          <t>D.4(c)</t>
        </is>
      </c>
      <c r="O29" s="1310" t="n">
        <v>0.29083</v>
      </c>
      <c r="P29" s="427" t="n"/>
      <c r="Q29" s="427" t="inlineStr">
        <is>
          <t>858245</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Fuel levy</t>
        </is>
      </c>
      <c r="AM29" s="842" t="n">
        <v>0.6313</v>
      </c>
      <c r="AN29" s="1306" t="n">
        <v>1.40919</v>
      </c>
      <c r="AO29" s="788" t="inlineStr">
        <is>
          <t>tCO2e/t</t>
        </is>
      </c>
      <c r="AP29" s="427" t="inlineStr">
        <is>
          <t>THB</t>
        </is>
      </c>
      <c r="AQ29" s="792" t="n">
        <v>33.72</v>
      </c>
      <c r="AR29" s="788" t="inlineStr">
        <is>
          <t>THB/t</t>
        </is>
      </c>
      <c r="AS29" s="644" t="inlineStr">
        <is>
          <t>Free allocation equivalent</t>
        </is>
      </c>
      <c r="AT29" s="842" t="n">
        <v>0.4018</v>
      </c>
      <c r="AU29" s="1306" t="n">
        <v>0.884609</v>
      </c>
      <c r="AV29" s="788" t="inlineStr">
        <is>
          <t>tCO2e/t</t>
        </is>
      </c>
      <c r="AW29" s="792" t="n">
        <v>9</v>
      </c>
      <c r="AX29" s="788" t="inlineStr">
        <is>
          <t>THB/t</t>
        </is>
      </c>
      <c r="AY29" s="792" t="n">
        <v>24.72</v>
      </c>
      <c r="AZ29" s="793" t="inlineStr">
        <is>
          <t>THB/t</t>
        </is>
      </c>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2026-09-13T17:34:50Z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