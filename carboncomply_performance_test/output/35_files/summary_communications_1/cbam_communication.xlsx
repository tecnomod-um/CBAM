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44927</v>
      </c>
      <c r="J9" s="1211" t="n"/>
      <c r="K9" s="176">
        <f>Translations!$B$69</f>
        <v/>
      </c>
      <c r="L9" s="1068" t="n">
        <v>45291</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Jamshedpur Steel Plant 9</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Jamshedpur Steel Plant 9</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Cement Boulevard, 186</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Blast furnace operation</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898971</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PCZ</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Jamshedpur</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India</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INDXF</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44.8568683°</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-42.1360023°</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Elena Gomez</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elena.gomez@example-steel.com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+82 240184071</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Jamshedpur Steel Plant 9</t>
        </is>
      </c>
      <c r="H12" s="816" t="inlineStr">
        <is>
          <t>G1</t>
        </is>
      </c>
      <c r="I12" s="643" t="inlineStr">
        <is>
          <t>Sintered ore</t>
        </is>
      </c>
      <c r="J12" s="1087" t="n"/>
      <c r="K12" s="1087" t="n"/>
      <c r="L12" s="1087" t="n"/>
      <c r="M12" s="1087" t="n"/>
      <c r="N12" s="1087" t="n"/>
      <c r="O12" s="1087" t="n"/>
      <c r="P12" s="817" t="inlineStr">
        <is>
          <t>P1</t>
        </is>
      </c>
      <c r="Q12" s="643" t="inlineStr">
        <is>
          <t>Blast furnace route</t>
        </is>
      </c>
      <c r="R12" s="643" t="inlineStr">
        <is>
          <t>Pig iron</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Cement Boulevard, 186</t>
        </is>
      </c>
      <c r="H13" s="816" t="inlineStr">
        <is>
          <t>G2</t>
        </is>
      </c>
      <c r="I13" s="644" t="inlineStr">
        <is>
          <t>DRI</t>
        </is>
      </c>
      <c r="J13" s="1089">
        <f>IF(Summary_Processes!G22="","",INDEX(Translations!$C:$C,MATCH(Summary_Processes!G22,Translations!$B:$B,0)))</f>
        <v/>
      </c>
      <c r="K13" s="1089">
        <f>IF(Summary_Processes!H22="","",INDEX(Translations!$C:$C,MATCH(Summary_Processes!H22,Translations!$B:$B,0)))</f>
        <v/>
      </c>
      <c r="L13" s="1089">
        <f>IF(Summary_Processes!I22="","",INDEX(Translations!$C:$C,MATCH(Summary_Processes!I22,Translations!$B:$B,0)))</f>
        <v/>
      </c>
      <c r="M13" s="1089">
        <f>IF(Summary_Processes!J22="","",INDEX(Translations!$C:$C,MATCH(Summary_Processes!J22,Translations!$B:$B,0)))</f>
        <v/>
      </c>
      <c r="N13" s="1089">
        <f>IF(Summary_Processes!K22="","",INDEX(Translations!$C:$C,MATCH(Summary_Processes!K22,Translations!$B:$B,0)))</f>
        <v/>
      </c>
      <c r="O13" s="1089">
        <f>IF(Summary_Processes!L22="","",INDEX(Translations!$C:$C,MATCH(Summary_Processes!L22,Translations!$B:$B,0)))</f>
        <v/>
      </c>
      <c r="P13" s="817" t="inlineStr">
        <is>
          <t>P2</t>
        </is>
      </c>
      <c r="Q13" s="644" t="inlineStr">
        <is>
          <t>Electric arc furnace</t>
        </is>
      </c>
      <c r="R13" s="644" t="inlineStr">
        <is>
          <t>Sintered ore</t>
        </is>
      </c>
      <c r="S13" s="1089">
        <f>IF(Summary_Processes!G34="","",INDEX(Translations!$C:$C,MATCH(Summary_Processes!G34,Translations!$B:$B,0)))</f>
        <v/>
      </c>
      <c r="T13" s="1089">
        <f>IF(Summary_Processes!H34="","",INDEX(Translations!$C:$C,MATCH(Summary_Processes!H34,Translations!$B:$B,0)))</f>
        <v/>
      </c>
      <c r="U13" s="1089">
        <f>IF(Summary_Processes!I34="","",INDEX(Translations!$C:$C,MATCH(Summary_Processes!I34,Translations!$B:$B,0)))</f>
        <v/>
      </c>
      <c r="V13" s="1089">
        <f>IF(Summary_Processes!J34="","",INDEX(Translations!$C:$C,MATCH(Summary_Processes!J34,Translations!$B:$B,0)))</f>
        <v/>
      </c>
      <c r="W13" s="1089">
        <f>IF(Summary_Processes!K34="","",INDEX(Translations!$C:$C,MATCH(Summary_Processes!K34,Translations!$B:$B,0)))</f>
        <v/>
      </c>
      <c r="X13" s="1089">
        <f>IF(Summary_Processes!L34="","",INDEX(Translations!$C:$C,MATCH(Summary_Processes!L34,Translations!$B:$B,0)))</f>
        <v/>
      </c>
      <c r="Y13" s="16" t="n"/>
      <c r="Z13" s="1191" t="n">
        <v>225644.917</v>
      </c>
      <c r="AA13" s="1203" t="n"/>
      <c r="AB13" s="1191" t="n">
        <v>1240.628</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Blast furnace operation</t>
        </is>
      </c>
      <c r="H14" s="816" t="inlineStr">
        <is>
          <t>G3</t>
        </is>
      </c>
      <c r="I14" s="644" t="n"/>
      <c r="J14" s="1089" t="n"/>
      <c r="K14" s="1089" t="n"/>
      <c r="L14" s="1089" t="n"/>
      <c r="M14" s="1089" t="n"/>
      <c r="N14" s="1089" t="n"/>
      <c r="O14" s="1089" t="n"/>
      <c r="P14" s="817" t="inlineStr">
        <is>
          <t>P3</t>
        </is>
      </c>
      <c r="Q14" s="644" t="inlineStr">
        <is>
          <t>Sintering</t>
        </is>
      </c>
      <c r="R14" s="644" t="inlineStr">
        <is>
          <t>Pig iron</t>
        </is>
      </c>
      <c r="S14" s="1089">
        <f>IF(Summary_Processes!G35="","",INDEX(Translations!$C:$C,MATCH(Summary_Processes!G35,Translations!$B:$B,0)))</f>
        <v/>
      </c>
      <c r="T14" s="1089">
        <f>IF(Summary_Processes!H35="","",INDEX(Translations!$C:$C,MATCH(Summary_Processes!H35,Translations!$B:$B,0)))</f>
        <v/>
      </c>
      <c r="U14" s="1089">
        <f>IF(Summary_Processes!I35="","",INDEX(Translations!$C:$C,MATCH(Summary_Processes!I35,Translations!$B:$B,0)))</f>
        <v/>
      </c>
      <c r="V14" s="1089">
        <f>IF(Summary_Processes!J35="","",INDEX(Translations!$C:$C,MATCH(Summary_Processes!J35,Translations!$B:$B,0)))</f>
        <v/>
      </c>
      <c r="W14" s="1089">
        <f>IF(Summary_Processes!K35="","",INDEX(Translations!$C:$C,MATCH(Summary_Processes!K35,Translations!$B:$B,0)))</f>
        <v/>
      </c>
      <c r="X14" s="1089">
        <f>IF(Summary_Processes!L35="","",INDEX(Translations!$C:$C,MATCH(Summary_Processes!L35,Translations!$B:$B,0)))</f>
        <v/>
      </c>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225644.917</v>
      </c>
      <c r="AY15" s="242" t="n"/>
      <c r="AZ15" s="242" t="n"/>
      <c r="BA15" s="242" t="n"/>
      <c r="BB15" s="138" t="n"/>
      <c r="BC15" s="140" t="n"/>
      <c r="BD15" s="737" t="n"/>
      <c r="BE15" s="737" t="n"/>
      <c r="BF15" s="737" t="n"/>
    </row>
    <row r="16" ht="12.75" customHeight="1">
      <c r="C16" s="16" t="n"/>
      <c r="D16" s="167">
        <f>Translations!$C$80</f>
        <v/>
      </c>
      <c r="E16" s="167" t="n"/>
      <c r="F16" s="819" t="n"/>
      <c r="G16" s="644" t="inlineStr">
        <is>
          <t>IN</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454826.882</v>
      </c>
      <c r="AY16" s="242" t="n"/>
      <c r="AZ16" s="242" t="n"/>
      <c r="BA16" s="242" t="n"/>
      <c r="BB16" s="138" t="n"/>
      <c r="BC16" s="140" t="n"/>
      <c r="BD16" s="737" t="n"/>
      <c r="BE16" s="737" t="n"/>
      <c r="BF16" s="737" t="n"/>
    </row>
    <row r="17" ht="12.75" customHeight="1">
      <c r="C17" s="16" t="n"/>
      <c r="D17" s="167">
        <f>Translations!$C$81</f>
        <v/>
      </c>
      <c r="E17" s="167" t="n"/>
      <c r="F17" s="819" t="n"/>
      <c r="G17" s="644" t="inlineStr">
        <is>
          <t>INDXF</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680471.799</v>
      </c>
      <c r="AY17" s="242" t="n"/>
      <c r="AZ17" s="242" t="n"/>
      <c r="BA17" s="242" t="n"/>
      <c r="BB17" s="138" t="n"/>
      <c r="BC17" s="140" t="n"/>
      <c r="BD17" s="737" t="n"/>
      <c r="BE17" s="737" t="n"/>
      <c r="BF17" s="737" t="n"/>
    </row>
    <row r="18" ht="12.75" customHeight="1">
      <c r="C18" s="16" t="n"/>
      <c r="D18" s="167">
        <f>Translations!$C$82</f>
        <v/>
      </c>
      <c r="E18" s="167" t="n"/>
      <c r="F18" s="819" t="n"/>
      <c r="G18" s="644" t="inlineStr">
        <is>
          <t>44.8568683°</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-42.1360023°</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Mostly measurements &amp; national standard factors for e.g. the emission factor</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44927</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n"/>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45291</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Internal audits</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Blast furnace route</t>
        </is>
      </c>
      <c r="E26" s="643" t="inlineStr">
        <is>
          <t>Pig iron</t>
        </is>
      </c>
      <c r="F26" s="835" t="inlineStr">
        <is>
          <t>72122000</t>
        </is>
      </c>
      <c r="G26" s="1087" t="inlineStr">
        <is>
          <t>Flat-rolled products of iron or non-alloy steel, of a width of &lt; 600 mm, electrolytically plated or coated with zinc</t>
        </is>
      </c>
      <c r="H26" s="1087" t="inlineStr">
        <is>
          <t>Example product A (batch 9)</t>
        </is>
      </c>
      <c r="I26" s="1309" t="n">
        <v>2.289189</v>
      </c>
      <c r="J26" s="1309" t="n">
        <v>0.21981</v>
      </c>
      <c r="K26" s="1309" t="n">
        <v>2.508999</v>
      </c>
      <c r="L26" s="1309" t="inlineStr">
        <is>
          <t>tCO2e/t</t>
        </is>
      </c>
      <c r="M26" s="837" t="n">
        <v>0.0528</v>
      </c>
      <c r="N26" s="1309" t="inlineStr">
        <is>
          <t>PPA-specific factor</t>
        </is>
      </c>
      <c r="O26" s="1309" t="n">
        <v>0.51776</v>
      </c>
      <c r="P26" s="421" t="n"/>
      <c r="Q26" s="421" t="inlineStr">
        <is>
          <t>198093</t>
        </is>
      </c>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inlineStr">
        <is>
          <t>Fuel levy</t>
        </is>
      </c>
      <c r="AM26" s="838" t="n">
        <v>0.3787</v>
      </c>
      <c r="AN26" s="1304" t="n">
        <v>2.298124</v>
      </c>
      <c r="AO26" s="1305" t="inlineStr">
        <is>
          <t>tCO2e/t</t>
        </is>
      </c>
      <c r="AP26" s="421" t="inlineStr">
        <is>
          <t>BRL</t>
        </is>
      </c>
      <c r="AQ26" s="775" t="n">
        <v>35.41</v>
      </c>
      <c r="AR26" s="501" t="inlineStr">
        <is>
          <t>BRL/t</t>
        </is>
      </c>
      <c r="AS26" s="643" t="inlineStr">
        <is>
          <t>Free allocation equivalent</t>
        </is>
      </c>
      <c r="AT26" s="838" t="n">
        <v>0.165</v>
      </c>
      <c r="AU26" s="1304" t="n">
        <v>0.430675</v>
      </c>
      <c r="AV26" s="1305" t="inlineStr">
        <is>
          <t>tCO2e/t</t>
        </is>
      </c>
      <c r="AW26" s="775" t="n">
        <v>10.1</v>
      </c>
      <c r="AX26" s="501" t="inlineStr">
        <is>
          <t>BRL/t</t>
        </is>
      </c>
      <c r="AY26" s="775" t="n">
        <v>25.31</v>
      </c>
      <c r="AZ26" s="776" t="inlineStr">
        <is>
          <t>BRL/t</t>
        </is>
      </c>
      <c r="BC26" s="140" t="n"/>
      <c r="BD26" s="140" t="n"/>
      <c r="BE26" s="140" t="n"/>
      <c r="BF26" s="140" t="n"/>
    </row>
    <row r="27" ht="12.75" customHeight="1">
      <c r="B27" s="738" t="n"/>
      <c r="C27" s="834" t="n">
        <v>2</v>
      </c>
      <c r="D27" s="1089" t="inlineStr">
        <is>
          <t>Sintering</t>
        </is>
      </c>
      <c r="E27" s="644" t="inlineStr">
        <is>
          <t>Crude steel</t>
        </is>
      </c>
      <c r="F27" s="839" t="inlineStr">
        <is>
          <t>72071190</t>
        </is>
      </c>
      <c r="G27" s="1089" t="inlineStr">
        <is>
          <t>Semi-finished products of iron or non-alloy steel, containing &lt; 0,25% carbon, other than of rectangular cross-section</t>
        </is>
      </c>
      <c r="H27" s="1089" t="inlineStr">
        <is>
          <t>Example product B (batch 9)</t>
        </is>
      </c>
      <c r="I27" s="1310" t="n">
        <v>2.053714</v>
      </c>
      <c r="J27" s="1310" t="n">
        <v>0.349746</v>
      </c>
      <c r="K27" s="1310" t="n">
        <v>2.40346</v>
      </c>
      <c r="L27" s="1310" t="inlineStr">
        <is>
          <t>tCO2e/t</t>
        </is>
      </c>
      <c r="M27" s="841" t="n">
        <v>0.0793</v>
      </c>
      <c r="N27" s="1310" t="inlineStr">
        <is>
          <t>D.4(a)</t>
        </is>
      </c>
      <c r="O27" s="1310" t="n">
        <v>1.32721</v>
      </c>
      <c r="P27" s="427" t="n"/>
      <c r="Q27" s="427" t="inlineStr">
        <is>
          <t>532798</t>
        </is>
      </c>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n"/>
      <c r="AM27" s="842" t="n"/>
      <c r="AN27" s="1306" t="n"/>
      <c r="AO27" s="788" t="n"/>
      <c r="AP27" s="427" t="n"/>
      <c r="AQ27" s="792" t="n"/>
      <c r="AR27" s="788" t="n"/>
      <c r="AS27" s="644" t="n"/>
      <c r="AT27" s="842" t="n"/>
      <c r="AU27" s="1306" t="n"/>
      <c r="AV27" s="788" t="n"/>
      <c r="AW27" s="792" t="n"/>
      <c r="AX27" s="788" t="n"/>
      <c r="AY27" s="792" t="n"/>
      <c r="AZ27" s="793" t="n"/>
      <c r="BC27" s="140" t="n"/>
      <c r="BD27" s="140" t="n"/>
      <c r="BE27" s="140" t="n"/>
      <c r="BF27" s="140" t="n"/>
    </row>
    <row r="28" ht="12.75" customHeight="1">
      <c r="B28" s="738" t="n"/>
      <c r="C28" s="834" t="n">
        <v>3</v>
      </c>
      <c r="D28" s="1089" t="inlineStr">
        <is>
          <t>Blast furnace route</t>
        </is>
      </c>
      <c r="E28" s="644" t="inlineStr">
        <is>
          <t>Crude steel</t>
        </is>
      </c>
      <c r="F28" s="839" t="inlineStr">
        <is>
          <t>73181900</t>
        </is>
      </c>
      <c r="G28" s="1089" t="inlineStr">
        <is>
          <t>Threaded articles of iron or steel, other than screws, bolts, nuts and coach screws</t>
        </is>
      </c>
      <c r="H28" s="1089" t="inlineStr">
        <is>
          <t>Example product C (batch 9)</t>
        </is>
      </c>
      <c r="I28" s="1310" t="n">
        <v>2.428817</v>
      </c>
      <c r="J28" s="1310" t="n">
        <v>0.451209</v>
      </c>
      <c r="K28" s="1310" t="n">
        <v>2.880026</v>
      </c>
      <c r="L28" s="1310" t="inlineStr">
        <is>
          <t>tCO2e/t</t>
        </is>
      </c>
      <c r="M28" s="841" t="n">
        <v>0.1019</v>
      </c>
      <c r="N28" s="1310" t="inlineStr">
        <is>
          <t>PPA-specific factor</t>
        </is>
      </c>
      <c r="O28" s="1310" t="n">
        <v>1.22185</v>
      </c>
      <c r="P28" s="427" t="n"/>
      <c r="Q28" s="427" t="inlineStr">
        <is>
          <t>646729</t>
        </is>
      </c>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inlineStr">
        <is>
          <t>Fuel levy</t>
        </is>
      </c>
      <c r="AM28" s="842" t="n">
        <v>0.7322</v>
      </c>
      <c r="AN28" s="1306" t="n">
        <v>0.9673349999999999</v>
      </c>
      <c r="AO28" s="788" t="inlineStr">
        <is>
          <t>tCO2e/t</t>
        </is>
      </c>
      <c r="AP28" s="427" t="inlineStr">
        <is>
          <t>BRL</t>
        </is>
      </c>
      <c r="AQ28" s="792" t="n">
        <v>37.15</v>
      </c>
      <c r="AR28" s="788" t="inlineStr">
        <is>
          <t>BRL/t</t>
        </is>
      </c>
      <c r="AS28" s="644" t="inlineStr">
        <is>
          <t>Sector-specific reduction</t>
        </is>
      </c>
      <c r="AT28" s="842" t="n">
        <v>0.2918</v>
      </c>
      <c r="AU28" s="1306" t="n">
        <v>0.365273</v>
      </c>
      <c r="AV28" s="788" t="inlineStr">
        <is>
          <t>tCO2e/t</t>
        </is>
      </c>
      <c r="AW28" s="792" t="n">
        <v>9.92</v>
      </c>
      <c r="AX28" s="788" t="inlineStr">
        <is>
          <t>BRL/t</t>
        </is>
      </c>
      <c r="AY28" s="792" t="n">
        <v>27.23</v>
      </c>
      <c r="AZ28" s="793" t="inlineStr">
        <is>
          <t>BRL/t</t>
        </is>
      </c>
      <c r="BC28" s="140" t="n"/>
      <c r="BD28" s="140" t="n"/>
      <c r="BE28" s="140" t="n"/>
      <c r="BF28" s="140" t="n"/>
    </row>
    <row r="29" ht="12.75" customHeight="1">
      <c r="B29" s="738" t="n"/>
      <c r="C29" s="834" t="n">
        <v>4</v>
      </c>
      <c r="D29" s="1089" t="inlineStr">
        <is>
          <t>Electric arc furnace</t>
        </is>
      </c>
      <c r="E29" s="644" t="inlineStr">
        <is>
          <t>Pig iron</t>
        </is>
      </c>
      <c r="F29" s="839" t="inlineStr">
        <is>
          <t>72081000</t>
        </is>
      </c>
      <c r="G29" s="1089" t="inlineStr">
        <is>
          <t>Flat-rolled products of iron or non-alloy steel, of a width of &gt;= 600 mm, in coils, simply hot-rolled</t>
        </is>
      </c>
      <c r="H29" s="1089" t="inlineStr">
        <is>
          <t>Example product D (batch 9)</t>
        </is>
      </c>
      <c r="I29" s="1310" t="n">
        <v>1.000192</v>
      </c>
      <c r="J29" s="1310" t="n">
        <v>0.352427</v>
      </c>
      <c r="K29" s="1310" t="n">
        <v>1.352619</v>
      </c>
      <c r="L29" s="1310" t="inlineStr">
        <is>
          <t>tCO2e/t</t>
        </is>
      </c>
      <c r="M29" s="841" t="n">
        <v>0.2587</v>
      </c>
      <c r="N29" s="1310" t="inlineStr">
        <is>
          <t>Grid average factor</t>
        </is>
      </c>
      <c r="O29" s="1310" t="n">
        <v>0.52669</v>
      </c>
      <c r="P29" s="427" t="n"/>
      <c r="Q29" s="427" t="inlineStr">
        <is>
          <t>736850</t>
        </is>
      </c>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inlineStr">
        <is>
          <t>Emissions Trading System</t>
        </is>
      </c>
      <c r="AM29" s="842" t="n">
        <v>0.4639</v>
      </c>
      <c r="AN29" s="1306" t="n">
        <v>0.62807</v>
      </c>
      <c r="AO29" s="788" t="inlineStr">
        <is>
          <t>tCO2e/t</t>
        </is>
      </c>
      <c r="AP29" s="427" t="inlineStr">
        <is>
          <t>BRL</t>
        </is>
      </c>
      <c r="AQ29" s="792" t="n">
        <v>41.37</v>
      </c>
      <c r="AR29" s="788" t="inlineStr">
        <is>
          <t>BRL/t</t>
        </is>
      </c>
      <c r="AS29" s="644" t="n"/>
      <c r="AT29" s="842" t="n"/>
      <c r="AU29" s="1306" t="n"/>
      <c r="AV29" s="788" t="n"/>
      <c r="AW29" s="792" t="n"/>
      <c r="AX29" s="788" t="n"/>
      <c r="AY29" s="792" t="n"/>
      <c r="AZ29" s="793" t="n"/>
      <c r="BC29" s="140" t="n"/>
      <c r="BD29" s="140" t="n"/>
      <c r="BE29" s="140" t="n"/>
      <c r="BF29" s="140" t="n"/>
    </row>
    <row r="30" ht="12.75" customHeight="1">
      <c r="B30" s="738" t="n"/>
      <c r="C30" s="834" t="n"/>
      <c r="D30" s="1089" t="n"/>
      <c r="E30" s="644" t="n"/>
      <c r="F30" s="839" t="n"/>
      <c r="G30" s="1089" t="n"/>
      <c r="H30" s="1089" t="n"/>
      <c r="I30" s="1310" t="n"/>
      <c r="J30" s="1310" t="n"/>
      <c r="K30" s="1310" t="n"/>
      <c r="L30" s="1310" t="n"/>
      <c r="M30" s="841" t="n"/>
      <c r="N30" s="1310" t="n"/>
      <c r="O30" s="1310" t="n"/>
      <c r="P30" s="427" t="n"/>
      <c r="Q30" s="427" t="n"/>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n"/>
      <c r="AM30" s="842" t="n"/>
      <c r="AN30" s="1306" t="n"/>
      <c r="AO30" s="788" t="n"/>
      <c r="AP30" s="427" t="n"/>
      <c r="AQ30" s="792" t="n"/>
      <c r="AR30" s="788" t="n"/>
      <c r="AS30" s="644" t="n"/>
      <c r="AT30" s="842" t="n"/>
      <c r="AU30" s="1306" t="n"/>
      <c r="AV30" s="788" t="n"/>
      <c r="AW30" s="792" t="n"/>
      <c r="AX30" s="788" t="n"/>
      <c r="AY30" s="792" t="n"/>
      <c r="AZ30" s="793" t="n"/>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2026-09-13T17:34:30Z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