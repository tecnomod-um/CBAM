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45657</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Tangerang Cement Plant 40</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Tangerang Cement Plant 40</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Factory Park, 243</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814356</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MLS</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Tangerang</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Indonesia</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IDIVW</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41.287875°</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-179.8835622°</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Igor Gomez</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igor.gomez@example-cement.com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+78 132425163</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Tangerang Cement Plant 40</t>
        </is>
      </c>
      <c r="H12" s="2155" t="inlineStr">
        <is>
          <t>G1</t>
        </is>
      </c>
      <c r="I12" s="1958" t="inlineStr">
        <is>
          <t>Cement</t>
        </is>
      </c>
      <c r="J12" s="1441" t="n"/>
      <c r="K12" s="1441" t="n"/>
      <c r="L12" s="1441" t="n"/>
      <c r="M12" s="1441" t="n"/>
      <c r="N12" s="1441" t="n"/>
      <c r="O12" s="1441" t="n"/>
      <c r="P12" s="2156" t="inlineStr">
        <is>
          <t>P1</t>
        </is>
      </c>
      <c r="Q12" s="1958" t="inlineStr">
        <is>
          <t>Clinker cooling</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Factory Park, 243</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Wet kiln process</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8552938.367000001</v>
      </c>
      <c r="AA13" s="1234" t="n"/>
      <c r="AB13" s="1981" t="n">
        <v>118463.278</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inlineStr">
        <is>
          <t>Cement Bubble</t>
        </is>
      </c>
      <c r="R14" s="1959" t="inlineStr">
        <is>
          <t>Cement</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8552938.367000001</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ID</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78413.98299999999</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IDIVW</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8631352.35</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41.287875°</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-179.8835622°</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national standard factors for e.g. the emission factor</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is>
          <t>Default values used for indirect emissions only</t>
        </is>
      </c>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45657</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ISO 14064-1 certified monitoring plan</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25239000</t>
        </is>
      </c>
      <c r="G26" s="1441" t="inlineStr">
        <is>
          <t>Other hydraulic cements</t>
        </is>
      </c>
      <c r="H26" s="1441" t="inlineStr">
        <is>
          <t>Example product A (batch 40)</t>
        </is>
      </c>
      <c r="I26" s="2176" t="n">
        <v>0.377602</v>
      </c>
      <c r="J26" s="2176" t="n">
        <v>0.296386</v>
      </c>
      <c r="K26" s="2176" t="n">
        <v>0.673988</v>
      </c>
      <c r="L26" s="2176" t="inlineStr">
        <is>
          <t>tCO2e/t</t>
        </is>
      </c>
      <c r="M26" s="2177" t="n">
        <v>0.033</v>
      </c>
      <c r="N26" s="2176" t="inlineStr">
        <is>
          <t>D.4(b)</t>
        </is>
      </c>
      <c r="O26" s="2176" t="n">
        <v>1.17205</v>
      </c>
      <c r="P26" s="1698" t="n"/>
      <c r="Q26" s="1698" t="n"/>
      <c r="R26" s="2178" t="n"/>
      <c r="S26" s="2178" t="n"/>
      <c r="T26" s="2178" t="n"/>
      <c r="U26" s="2178" t="n"/>
      <c r="V26" s="2178" t="n"/>
      <c r="W26" s="2178" t="n"/>
      <c r="X26" s="2178" t="n"/>
      <c r="Y26" s="2178" t="n"/>
      <c r="Z26" s="2178" t="n"/>
      <c r="AA26" s="2178" t="n"/>
      <c r="AB26" s="2178" t="n">
        <v>0.9264</v>
      </c>
      <c r="AC26" s="2178" t="n"/>
      <c r="AD26" s="2178" t="n"/>
      <c r="AE26" s="2178" t="n"/>
      <c r="AF26" s="2178" t="n"/>
      <c r="AG26" s="2178" t="n"/>
      <c r="AH26" s="2178" t="n"/>
      <c r="AI26" s="2178" t="n"/>
      <c r="AJ26" s="2178" t="n"/>
      <c r="AK26" s="2178" t="n"/>
      <c r="AL26" s="1958" t="inlineStr">
        <is>
          <t>Emissions Trading System</t>
        </is>
      </c>
      <c r="AM26" s="2178" t="n">
        <v>0.6038</v>
      </c>
      <c r="AN26" s="2108" t="n">
        <v>0.543422</v>
      </c>
      <c r="AO26" s="2109" t="inlineStr">
        <is>
          <t>tCO2e/t</t>
        </is>
      </c>
      <c r="AP26" s="1698" t="inlineStr">
        <is>
          <t>IDR</t>
        </is>
      </c>
      <c r="AQ26" s="2113" t="n">
        <v>46.9</v>
      </c>
      <c r="AR26" s="1796" t="inlineStr">
        <is>
          <t>IDR/t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Wet kiln process</t>
        </is>
      </c>
      <c r="E27" s="1959" t="inlineStr">
        <is>
          <t>Cement</t>
        </is>
      </c>
      <c r="F27" s="2179" t="inlineStr">
        <is>
          <t>25232900</t>
        </is>
      </c>
      <c r="G27" s="1449" t="inlineStr">
        <is>
          <t>Portland cement (excl. white, whether or not artificially coloured)</t>
        </is>
      </c>
      <c r="H27" s="1449" t="inlineStr">
        <is>
          <t>Example product B (batch 40)</t>
        </is>
      </c>
      <c r="I27" s="2180" t="n">
        <v>0.705906</v>
      </c>
      <c r="J27" s="2180" t="n">
        <v>0.474121</v>
      </c>
      <c r="K27" s="2180" t="n">
        <v>1.180027</v>
      </c>
      <c r="L27" s="2180" t="inlineStr">
        <is>
          <t>tCO2e/t</t>
        </is>
      </c>
      <c r="M27" s="2181" t="n">
        <v>0.0171</v>
      </c>
      <c r="N27" s="2180" t="inlineStr">
        <is>
          <t>PPA-specific factor</t>
        </is>
      </c>
      <c r="O27" s="2180" t="n">
        <v>1.58041</v>
      </c>
      <c r="P27" s="1704" t="n"/>
      <c r="Q27" s="1704" t="n"/>
      <c r="R27" s="2182" t="n"/>
      <c r="S27" s="2182" t="n"/>
      <c r="T27" s="2182" t="n"/>
      <c r="U27" s="2182" t="n"/>
      <c r="V27" s="2182" t="n"/>
      <c r="W27" s="2182" t="n"/>
      <c r="X27" s="2182" t="n"/>
      <c r="Y27" s="2182" t="n"/>
      <c r="Z27" s="2182" t="n"/>
      <c r="AA27" s="2182" t="n"/>
      <c r="AB27" s="2182" t="n">
        <v>0.7786999999999999</v>
      </c>
      <c r="AC27" s="2182" t="n"/>
      <c r="AD27" s="2182" t="n"/>
      <c r="AE27" s="2182" t="n"/>
      <c r="AF27" s="2182" t="n"/>
      <c r="AG27" s="2182" t="n"/>
      <c r="AH27" s="2182" t="n"/>
      <c r="AI27" s="2182" t="n"/>
      <c r="AJ27" s="2182" t="n"/>
      <c r="AK27" s="2182" t="n"/>
      <c r="AL27" s="1959" t="inlineStr">
        <is>
          <t>Carbon tax</t>
        </is>
      </c>
      <c r="AM27" s="2182" t="n">
        <v>0.1627</v>
      </c>
      <c r="AN27" s="2125" t="n">
        <v>0.892494</v>
      </c>
      <c r="AO27" s="2126" t="inlineStr">
        <is>
          <t>tCO2e/t</t>
        </is>
      </c>
      <c r="AP27" s="1704" t="inlineStr">
        <is>
          <t>IDR</t>
        </is>
      </c>
      <c r="AQ27" s="2130" t="n">
        <v>50.45</v>
      </c>
      <c r="AR27" s="2126" t="inlineStr">
        <is>
          <t>IDR/t</t>
        </is>
      </c>
      <c r="AS27" s="1959" t="inlineStr">
        <is>
          <t>Sector-specific reduction</t>
        </is>
      </c>
      <c r="AT27" s="2182" t="n">
        <v>0.3683</v>
      </c>
      <c r="AU27" s="2125" t="n">
        <v>0.259174</v>
      </c>
      <c r="AV27" s="2126" t="inlineStr">
        <is>
          <t>tCO2e/t</t>
        </is>
      </c>
      <c r="AW27" s="2130" t="n">
        <v>19.71</v>
      </c>
      <c r="AX27" s="2126" t="inlineStr">
        <is>
          <t>IDR/t</t>
        </is>
      </c>
      <c r="AY27" s="2130" t="n">
        <v>30.74</v>
      </c>
      <c r="AZ27" s="2131" t="inlineStr">
        <is>
          <t>IDR/t</t>
        </is>
      </c>
      <c r="BC27" s="1361" t="n"/>
      <c r="BD27" s="1361" t="n"/>
      <c r="BE27" s="1361" t="n"/>
      <c r="BF27" s="1361" t="n"/>
    </row>
    <row r="28" ht="12.75" customHeight="1" s="1230">
      <c r="B28" s="2076" t="n"/>
      <c r="C28" s="2174" t="n">
        <v>3</v>
      </c>
      <c r="D28" s="1449" t="inlineStr">
        <is>
          <t>Wet kiln process</t>
        </is>
      </c>
      <c r="E28" s="1959" t="inlineStr">
        <is>
          <t>Cement clinker</t>
        </is>
      </c>
      <c r="F28" s="2179" t="inlineStr">
        <is>
          <t>25231000</t>
        </is>
      </c>
      <c r="G28" s="1449" t="inlineStr">
        <is>
          <t>Cement clinkers</t>
        </is>
      </c>
      <c r="H28" s="1449" t="inlineStr">
        <is>
          <t>Example product C (batch 40)</t>
        </is>
      </c>
      <c r="I28" s="2180" t="n">
        <v>2.196836</v>
      </c>
      <c r="J28" s="2180" t="n">
        <v>0.160994</v>
      </c>
      <c r="K28" s="2180" t="n">
        <v>2.35783</v>
      </c>
      <c r="L28" s="2180" t="inlineStr">
        <is>
          <t>tCO2e/t</t>
        </is>
      </c>
      <c r="M28" s="2181" t="n">
        <v>0.2543</v>
      </c>
      <c r="N28" s="2180" t="inlineStr">
        <is>
          <t>PPA-specific factor</t>
        </is>
      </c>
      <c r="O28" s="2180" t="n">
        <v>1.09048</v>
      </c>
      <c r="P28" s="1704" t="n"/>
      <c r="Q28" s="1704" t="n"/>
      <c r="R28" s="2182" t="n"/>
      <c r="S28" s="2182" t="n"/>
      <c r="T28" s="2182" t="n"/>
      <c r="U28" s="2182" t="n"/>
      <c r="V28" s="2182" t="n"/>
      <c r="W28" s="2182" t="n"/>
      <c r="X28" s="2182" t="n"/>
      <c r="Y28" s="2182" t="n"/>
      <c r="Z28" s="2182" t="n"/>
      <c r="AA28" s="2182" t="n"/>
      <c r="AB28" s="2182" t="n">
        <v>0.907</v>
      </c>
      <c r="AC28" s="2182" t="n"/>
      <c r="AD28" s="2182" t="n"/>
      <c r="AE28" s="2182" t="n"/>
      <c r="AF28" s="2182" t="n"/>
      <c r="AG28" s="2182" t="n"/>
      <c r="AH28" s="2182" t="n"/>
      <c r="AI28" s="2182" t="n"/>
      <c r="AJ28" s="2182" t="n"/>
      <c r="AK28" s="2182" t="n"/>
      <c r="AL28" s="1959" t="inlineStr">
        <is>
          <t>Carbon tax and ETS</t>
        </is>
      </c>
      <c r="AM28" s="2182" t="n">
        <v>0.9347</v>
      </c>
      <c r="AN28" s="2125" t="n">
        <v>0.278126</v>
      </c>
      <c r="AO28" s="2126" t="inlineStr">
        <is>
          <t>tCO2e/t</t>
        </is>
      </c>
      <c r="AP28" s="1704" t="inlineStr">
        <is>
          <t>IDR</t>
        </is>
      </c>
      <c r="AQ28" s="2130" t="n">
        <v>42.97</v>
      </c>
      <c r="AR28" s="2126" t="inlineStr">
        <is>
          <t>IDR/t</t>
        </is>
      </c>
      <c r="AS28" s="1959" t="inlineStr">
        <is>
          <t>Partial exemption</t>
        </is>
      </c>
      <c r="AT28" s="2182" t="n">
        <v>0.2053</v>
      </c>
      <c r="AU28" s="2125" t="n">
        <v>0.189034</v>
      </c>
      <c r="AV28" s="2126" t="inlineStr">
        <is>
          <t>tCO2e/t</t>
        </is>
      </c>
      <c r="AW28" s="2130" t="n">
        <v>23.37</v>
      </c>
      <c r="AX28" s="2126" t="inlineStr">
        <is>
          <t>IDR/t</t>
        </is>
      </c>
      <c r="AY28" s="2130" t="n">
        <v>19.6</v>
      </c>
      <c r="AZ28" s="2131" t="inlineStr">
        <is>
          <t>IDR/t</t>
        </is>
      </c>
      <c r="BC28" s="1361" t="n"/>
      <c r="BD28" s="1361" t="n"/>
      <c r="BE28" s="1361" t="n"/>
      <c r="BF28" s="1361" t="n"/>
    </row>
    <row r="29" ht="12.75" customHeight="1" s="1230">
      <c r="B29" s="2076" t="n"/>
      <c r="C29" s="2174" t="n">
        <v>4</v>
      </c>
      <c r="D29" s="1449" t="inlineStr">
        <is>
          <t>Wet kiln process</t>
        </is>
      </c>
      <c r="E29" s="1959" t="inlineStr">
        <is>
          <t>Cement</t>
        </is>
      </c>
      <c r="F29" s="2179" t="inlineStr">
        <is>
          <t>25232100</t>
        </is>
      </c>
      <c r="G29" s="1449" t="inlineStr">
        <is>
          <t>White Portland cement, whether or not artificially coloured</t>
        </is>
      </c>
      <c r="H29" s="1449" t="inlineStr">
        <is>
          <t>Example product D (batch 40)</t>
        </is>
      </c>
      <c r="I29" s="2180" t="n">
        <v>1.375402</v>
      </c>
      <c r="J29" s="2180" t="n">
        <v>0.138625</v>
      </c>
      <c r="K29" s="2180" t="n">
        <v>1.514027</v>
      </c>
      <c r="L29" s="2180" t="inlineStr">
        <is>
          <t>tCO2e/t</t>
        </is>
      </c>
      <c r="M29" s="2181" t="n">
        <v>0.1158</v>
      </c>
      <c r="N29" s="2180" t="inlineStr">
        <is>
          <t>D.4(b)</t>
        </is>
      </c>
      <c r="O29" s="2180" t="n">
        <v>0.72655</v>
      </c>
      <c r="P29" s="1704" t="n"/>
      <c r="Q29" s="1704" t="n"/>
      <c r="R29" s="2182" t="n"/>
      <c r="S29" s="2182" t="n"/>
      <c r="T29" s="2182" t="n"/>
      <c r="U29" s="2182" t="n"/>
      <c r="V29" s="2182" t="n"/>
      <c r="W29" s="2182" t="n"/>
      <c r="X29" s="2182" t="n"/>
      <c r="Y29" s="2182" t="n"/>
      <c r="Z29" s="2182" t="n"/>
      <c r="AA29" s="2182" t="n"/>
      <c r="AB29" s="2182" t="n">
        <v>0.8743</v>
      </c>
      <c r="AC29" s="2182" t="n"/>
      <c r="AD29" s="2182" t="n"/>
      <c r="AE29" s="2182" t="n"/>
      <c r="AF29" s="2182" t="n"/>
      <c r="AG29" s="2182" t="n"/>
      <c r="AH29" s="2182" t="n"/>
      <c r="AI29" s="2182" t="n"/>
      <c r="AJ29" s="2182" t="n"/>
      <c r="AK29" s="2182" t="n"/>
      <c r="AL29" s="1959" t="inlineStr">
        <is>
          <t>Emissions Trading System</t>
        </is>
      </c>
      <c r="AM29" s="2182" t="n">
        <v>0.8398</v>
      </c>
      <c r="AN29" s="2125" t="n">
        <v>0.615463</v>
      </c>
      <c r="AO29" s="2126" t="inlineStr">
        <is>
          <t>tCO2e/t</t>
        </is>
      </c>
      <c r="AP29" s="1704" t="inlineStr">
        <is>
          <t>IDR</t>
        </is>
      </c>
      <c r="AQ29" s="2130" t="n">
        <v>65.77</v>
      </c>
      <c r="AR29" s="2126" t="inlineStr">
        <is>
          <t>IDR/t</t>
        </is>
      </c>
      <c r="AS29" s="1959" t="inlineStr">
        <is>
          <t>Sector-specific reduction</t>
        </is>
      </c>
      <c r="AT29" s="2182" t="n">
        <v>0.5631</v>
      </c>
      <c r="AU29" s="2125" t="n">
        <v>0.07155599999999999</v>
      </c>
      <c r="AV29" s="2126" t="inlineStr">
        <is>
          <t>tCO2e/t</t>
        </is>
      </c>
      <c r="AW29" s="2130" t="n">
        <v>18.92</v>
      </c>
      <c r="AX29" s="2126" t="inlineStr">
        <is>
          <t>IDR/t</t>
        </is>
      </c>
      <c r="AY29" s="2130" t="n">
        <v>46.85</v>
      </c>
      <c r="AZ29" s="2131" t="inlineStr">
        <is>
          <t>IDR/t</t>
        </is>
      </c>
      <c r="BC29" s="1361" t="n"/>
      <c r="BD29" s="1361" t="n"/>
      <c r="BE29" s="1361" t="n"/>
      <c r="BF29" s="1361" t="n"/>
    </row>
    <row r="30" ht="12.75" customHeight="1" s="1230">
      <c r="B30" s="2076" t="n"/>
      <c r="C30" s="2174" t="n">
        <v>5</v>
      </c>
      <c r="D30" s="1449" t="inlineStr">
        <is>
          <t>Cement Bubble</t>
        </is>
      </c>
      <c r="E30" s="1959" t="inlineStr">
        <is>
          <t>Cement clinker</t>
        </is>
      </c>
      <c r="F30" s="2179" t="inlineStr">
        <is>
          <t>25233000</t>
        </is>
      </c>
      <c r="G30" s="1449" t="inlineStr">
        <is>
          <t>Aluminous cement</t>
        </is>
      </c>
      <c r="H30" s="1449" t="inlineStr">
        <is>
          <t>Example product E (batch 40)</t>
        </is>
      </c>
      <c r="I30" s="2180" t="n">
        <v>0.802759</v>
      </c>
      <c r="J30" s="2180" t="n">
        <v>0.3427</v>
      </c>
      <c r="K30" s="2180" t="n">
        <v>1.145459</v>
      </c>
      <c r="L30" s="2180" t="inlineStr">
        <is>
          <t>tCO2e/t</t>
        </is>
      </c>
      <c r="M30" s="2181" t="n">
        <v>0.1316</v>
      </c>
      <c r="N30" s="2180" t="inlineStr">
        <is>
          <t>D.4(a)</t>
        </is>
      </c>
      <c r="O30" s="2180" t="n">
        <v>0.85715</v>
      </c>
      <c r="P30" s="1704" t="n"/>
      <c r="Q30" s="1704" t="n"/>
      <c r="R30" s="2182" t="n"/>
      <c r="S30" s="2182" t="n"/>
      <c r="T30" s="2182" t="n"/>
      <c r="U30" s="2182" t="n"/>
      <c r="V30" s="2182" t="n"/>
      <c r="W30" s="2182" t="n"/>
      <c r="X30" s="2182" t="n"/>
      <c r="Y30" s="2182" t="n"/>
      <c r="Z30" s="2182" t="n"/>
      <c r="AA30" s="2182" t="n"/>
      <c r="AB30" s="2182" t="n">
        <v>0.9157999999999999</v>
      </c>
      <c r="AC30" s="2182" t="n"/>
      <c r="AD30" s="2182" t="n"/>
      <c r="AE30" s="2182" t="n"/>
      <c r="AF30" s="2182" t="n"/>
      <c r="AG30" s="2182" t="n"/>
      <c r="AH30" s="2182" t="n"/>
      <c r="AI30" s="2182" t="n"/>
      <c r="AJ30" s="2182" t="n"/>
      <c r="AK30" s="2182" t="n"/>
      <c r="AL30" s="1959" t="inlineStr">
        <is>
          <t>Fuel levy</t>
        </is>
      </c>
      <c r="AM30" s="2182" t="n">
        <v>0.5756</v>
      </c>
      <c r="AN30" s="2125" t="n">
        <v>1.114052</v>
      </c>
      <c r="AO30" s="2126" t="inlineStr">
        <is>
          <t>tCO2e/t</t>
        </is>
      </c>
      <c r="AP30" s="1704" t="inlineStr">
        <is>
          <t>IDR</t>
        </is>
      </c>
      <c r="AQ30" s="2130" t="n">
        <v>41.89</v>
      </c>
      <c r="AR30" s="2126" t="inlineStr">
        <is>
          <t>IDR/t</t>
        </is>
      </c>
      <c r="AS30" s="1959" t="inlineStr">
        <is>
          <t>Sector-specific reduction</t>
        </is>
      </c>
      <c r="AT30" s="2182" t="n">
        <v>0.9033</v>
      </c>
      <c r="AU30" s="2125" t="n">
        <v>0.534415</v>
      </c>
      <c r="AV30" s="2126" t="inlineStr">
        <is>
          <t>tCO2e/t</t>
        </is>
      </c>
      <c r="AW30" s="2130" t="n">
        <v>20.23</v>
      </c>
      <c r="AX30" s="2126" t="inlineStr">
        <is>
          <t>IDR/t</t>
        </is>
      </c>
      <c r="AY30" s="2130" t="n">
        <v>21.66</v>
      </c>
      <c r="AZ30" s="2131" t="inlineStr">
        <is>
          <t>IDR/t</t>
        </is>
      </c>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2026-09-13T17:36:14Z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