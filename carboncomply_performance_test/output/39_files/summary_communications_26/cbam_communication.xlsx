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44927</v>
      </c>
      <c r="J9" s="1400" t="n"/>
      <c r="K9" s="1398">
        <f>Translations!$B$69</f>
        <v/>
      </c>
      <c r="L9" s="1399" t="n">
        <v>45291</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Porto Alegre Cement Plant 14</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Porto Alegre Cement Plant 14</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Industrial Ave, 92</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299959</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VKS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Porto Alegre</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Brazil</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BRLUL</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24.1044498°</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-43.7272844°</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Wei Zhang</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wei.zhang@example-cement.com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+99 363425794</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Porto Alegre Cement Plant 14</t>
        </is>
      </c>
      <c r="H12" s="2155" t="inlineStr">
        <is>
          <t>G1</t>
        </is>
      </c>
      <c r="I12" s="1958" t="inlineStr">
        <is>
          <t>Cement clinker</t>
        </is>
      </c>
      <c r="J12" s="1441" t="n"/>
      <c r="K12" s="1441" t="n"/>
      <c r="L12" s="1441" t="n"/>
      <c r="M12" s="1441" t="n"/>
      <c r="N12" s="1441" t="n"/>
      <c r="O12" s="1441" t="n"/>
      <c r="P12" s="2156" t="inlineStr">
        <is>
          <t>P1</t>
        </is>
      </c>
      <c r="Q12" s="1958" t="inlineStr">
        <is>
          <t>Dry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Industrial Ave, 92</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Clinker cooling</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2207099.653</v>
      </c>
      <c r="AA13" s="1234" t="n"/>
      <c r="AB13" s="1981" t="n">
        <v>82246.18700000001</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t="n"/>
      <c r="J14" s="1449" t="n"/>
      <c r="K14" s="1449" t="n"/>
      <c r="L14" s="1449" t="n"/>
      <c r="M14" s="1449" t="n"/>
      <c r="N14" s="1449" t="n"/>
      <c r="O14" s="1449" t="n"/>
      <c r="P14" s="2156" t="inlineStr">
        <is>
          <t>P3</t>
        </is>
      </c>
      <c r="Q14" s="1959" t="inlineStr">
        <is>
          <t>Wet kiln process</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2207099.653</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BR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184175.151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BRLUL</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2391274.804</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24.1044498°</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-43.7272844°</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Based on continuous emissions monitoring systems (CEMS)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44927</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45291</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Dry kiln process</t>
        </is>
      </c>
      <c r="E26" s="1958" t="inlineStr">
        <is>
          <t>Cement</t>
        </is>
      </c>
      <c r="F26" s="2175" t="inlineStr">
        <is>
          <t>25231000</t>
        </is>
      </c>
      <c r="G26" s="1441" t="inlineStr">
        <is>
          <t>Cement clinkers</t>
        </is>
      </c>
      <c r="H26" s="1441" t="inlineStr">
        <is>
          <t>Example product A (batch 14)</t>
        </is>
      </c>
      <c r="I26" s="2176" t="n">
        <v>0.890249</v>
      </c>
      <c r="J26" s="2176" t="n">
        <v>0.135949</v>
      </c>
      <c r="K26" s="2176" t="n">
        <v>1.026198</v>
      </c>
      <c r="L26" s="2176" t="inlineStr">
        <is>
          <t>tCO2e/t</t>
        </is>
      </c>
      <c r="M26" s="2177" t="n">
        <v>0.1719</v>
      </c>
      <c r="N26" s="2176" t="inlineStr">
        <is>
          <t>D.4(b)</t>
        </is>
      </c>
      <c r="O26" s="2176" t="n">
        <v>0.98977</v>
      </c>
      <c r="P26" s="1698" t="n"/>
      <c r="Q26" s="1698" t="n"/>
      <c r="R26" s="2178" t="n"/>
      <c r="S26" s="2178" t="n"/>
      <c r="T26" s="2178" t="n"/>
      <c r="U26" s="2178" t="n"/>
      <c r="V26" s="2178" t="n"/>
      <c r="W26" s="2178" t="n"/>
      <c r="X26" s="2178" t="n"/>
      <c r="Y26" s="2178" t="n"/>
      <c r="Z26" s="2178" t="n"/>
      <c r="AA26" s="2178" t="n"/>
      <c r="AB26" s="2178" t="n">
        <v>0.8672</v>
      </c>
      <c r="AC26" s="2178" t="n"/>
      <c r="AD26" s="2178" t="n"/>
      <c r="AE26" s="2178" t="n"/>
      <c r="AF26" s="2178" t="n"/>
      <c r="AG26" s="2178" t="n"/>
      <c r="AH26" s="2178" t="n"/>
      <c r="AI26" s="2178" t="n"/>
      <c r="AJ26" s="2178" t="n"/>
      <c r="AK26" s="2178" t="n"/>
      <c r="AL26" s="1958" t="inlineStr">
        <is>
          <t>Fuel levy</t>
        </is>
      </c>
      <c r="AM26" s="2178" t="n">
        <v>0.7038</v>
      </c>
      <c r="AN26" s="2108" t="n">
        <v>0.773691</v>
      </c>
      <c r="AO26" s="2109" t="inlineStr">
        <is>
          <t>tCO2e/t</t>
        </is>
      </c>
      <c r="AP26" s="1698" t="inlineStr">
        <is>
          <t>IDR</t>
        </is>
      </c>
      <c r="AQ26" s="2113" t="n">
        <v>74.72</v>
      </c>
      <c r="AR26" s="1796" t="inlineStr">
        <is>
          <t>IDR/t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Wet kiln process</t>
        </is>
      </c>
      <c r="E27" s="1959" t="inlineStr">
        <is>
          <t>Cement clinker</t>
        </is>
      </c>
      <c r="F27" s="2179" t="inlineStr">
        <is>
          <t>25239000</t>
        </is>
      </c>
      <c r="G27" s="1449" t="inlineStr">
        <is>
          <t>Other hydraulic cements</t>
        </is>
      </c>
      <c r="H27" s="1449" t="inlineStr">
        <is>
          <t>Example product B (batch 14)</t>
        </is>
      </c>
      <c r="I27" s="2180" t="n">
        <v>1.353263</v>
      </c>
      <c r="J27" s="2180" t="n">
        <v>0.48532</v>
      </c>
      <c r="K27" s="2180" t="n">
        <v>1.838583</v>
      </c>
      <c r="L27" s="2180" t="inlineStr">
        <is>
          <t>tCO2e/t</t>
        </is>
      </c>
      <c r="M27" s="2181" t="n">
        <v>0.0244</v>
      </c>
      <c r="N27" s="2180" t="inlineStr">
        <is>
          <t>D.4(b)</t>
        </is>
      </c>
      <c r="O27" s="2180" t="n">
        <v>0.72534</v>
      </c>
      <c r="P27" s="1704" t="n"/>
      <c r="Q27" s="1704" t="n"/>
      <c r="R27" s="2182" t="n"/>
      <c r="S27" s="2182" t="n"/>
      <c r="T27" s="2182" t="n"/>
      <c r="U27" s="2182" t="n"/>
      <c r="V27" s="2182" t="n"/>
      <c r="W27" s="2182" t="n"/>
      <c r="X27" s="2182" t="n"/>
      <c r="Y27" s="2182" t="n"/>
      <c r="Z27" s="2182" t="n"/>
      <c r="AA27" s="2182" t="n"/>
      <c r="AB27" s="2182" t="n">
        <v>0.7252</v>
      </c>
      <c r="AC27" s="2182" t="n"/>
      <c r="AD27" s="2182" t="n"/>
      <c r="AE27" s="2182" t="n"/>
      <c r="AF27" s="2182" t="n"/>
      <c r="AG27" s="2182" t="n"/>
      <c r="AH27" s="2182" t="n"/>
      <c r="AI27" s="2182" t="n"/>
      <c r="AJ27" s="2182" t="n"/>
      <c r="AK27" s="2182" t="n"/>
      <c r="AL27" s="1959" t="inlineStr">
        <is>
          <t>Carbon tax and ETS</t>
        </is>
      </c>
      <c r="AM27" s="2182" t="n">
        <v>0.5786</v>
      </c>
      <c r="AN27" s="2125" t="n">
        <v>1.328396</v>
      </c>
      <c r="AO27" s="2126" t="inlineStr">
        <is>
          <t>tCO2e/t</t>
        </is>
      </c>
      <c r="AP27" s="1704" t="inlineStr">
        <is>
          <t>IDR</t>
        </is>
      </c>
      <c r="AQ27" s="2130" t="n">
        <v>28.61</v>
      </c>
      <c r="AR27" s="2126" t="inlineStr">
        <is>
          <t>IDR/t</t>
        </is>
      </c>
      <c r="AS27" s="1959" t="inlineStr">
        <is>
          <t>Sector-specific reduction</t>
        </is>
      </c>
      <c r="AT27" s="2182" t="n">
        <v>0.3969</v>
      </c>
      <c r="AU27" s="2125" t="n">
        <v>0.331158</v>
      </c>
      <c r="AV27" s="2126" t="inlineStr">
        <is>
          <t>tCO2e/t</t>
        </is>
      </c>
      <c r="AW27" s="2130" t="n">
        <v>16.99</v>
      </c>
      <c r="AX27" s="2126" t="inlineStr">
        <is>
          <t>IDR/t</t>
        </is>
      </c>
      <c r="AY27" s="2130" t="n">
        <v>11.62</v>
      </c>
      <c r="AZ27" s="2131" t="inlineStr">
        <is>
          <t>IDR/t</t>
        </is>
      </c>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2026-09-13T17:34:46Z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