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Porto Alegre Cement Plant 28</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Porto Alegre Cement Plant 28</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Steel Way, 13</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731255</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FCG</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Porto Alegre</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Brazil</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BRVEW</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-29.2609599°</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104.1859098°</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Fatima Tanaka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fatima.tanaka@example-cement.com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+49 425358474</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Porto Alegre Cement Plant 28</t>
        </is>
      </c>
      <c r="H12" s="2155" t="inlineStr">
        <is>
          <t>G1</t>
        </is>
      </c>
      <c r="I12" s="1958" t="inlineStr">
        <is>
          <t>Cement</t>
        </is>
      </c>
      <c r="J12" s="1441" t="n"/>
      <c r="K12" s="1441" t="n"/>
      <c r="L12" s="1441" t="n"/>
      <c r="M12" s="1441" t="n"/>
      <c r="N12" s="1441" t="n"/>
      <c r="O12" s="1441" t="n"/>
      <c r="P12" s="2156" t="inlineStr">
        <is>
          <t>P1</t>
        </is>
      </c>
      <c r="Q12" s="1958" t="inlineStr">
        <is>
          <t>Cement Bubble</t>
        </is>
      </c>
      <c r="R12" s="1958" t="inlineStr">
        <is>
          <t>Cement</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Steel Way, 13</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n"/>
      <c r="R13" s="1959" t="n"/>
      <c r="S13" s="1449" t="n"/>
      <c r="T13" s="1449" t="n"/>
      <c r="U13" s="1449" t="n"/>
      <c r="V13" s="1449" t="n"/>
      <c r="W13" s="1449" t="n"/>
      <c r="X13" s="1449" t="n"/>
      <c r="Y13" s="1206" t="n"/>
      <c r="Z13" s="1981" t="n">
        <v>8561254.661</v>
      </c>
      <c r="AA13" s="1234" t="n"/>
      <c r="AB13" s="1981" t="n">
        <v>142471.354</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8561254.661</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BR</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1499295.751</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BRVEW</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10060550.412</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-29.2609599°</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104.1859098°</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Third-party verification performed annually</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Cement Bubble</t>
        </is>
      </c>
      <c r="E26" s="1958" t="inlineStr">
        <is>
          <t>Cement clinker</t>
        </is>
      </c>
      <c r="F26" s="2175" t="inlineStr">
        <is>
          <t>25232100</t>
        </is>
      </c>
      <c r="G26" s="1441" t="inlineStr">
        <is>
          <t>White Portland cement, whether or not artificially coloured</t>
        </is>
      </c>
      <c r="H26" s="1441" t="inlineStr">
        <is>
          <t>Example product A (batch 28)</t>
        </is>
      </c>
      <c r="I26" s="2176" t="n">
        <v>1.953442</v>
      </c>
      <c r="J26" s="2176" t="n">
        <v>0.176215</v>
      </c>
      <c r="K26" s="2176" t="n">
        <v>2.129657</v>
      </c>
      <c r="L26" s="2176" t="inlineStr">
        <is>
          <t>tCO2e/t</t>
        </is>
      </c>
      <c r="M26" s="2177" t="n">
        <v>0.245</v>
      </c>
      <c r="N26" s="2176" t="inlineStr">
        <is>
          <t>D.4(c)</t>
        </is>
      </c>
      <c r="O26" s="2176" t="n">
        <v>0.36056</v>
      </c>
      <c r="P26" s="1698" t="n"/>
      <c r="Q26" s="1698" t="n"/>
      <c r="R26" s="2178" t="n"/>
      <c r="S26" s="2178" t="n"/>
      <c r="T26" s="2178" t="n"/>
      <c r="U26" s="2178" t="n"/>
      <c r="V26" s="2178" t="n"/>
      <c r="W26" s="2178" t="n"/>
      <c r="X26" s="2178" t="n"/>
      <c r="Y26" s="2178" t="n"/>
      <c r="Z26" s="2178" t="n"/>
      <c r="AA26" s="2178" t="n"/>
      <c r="AB26" s="2178" t="n">
        <v>0.9661999999999999</v>
      </c>
      <c r="AC26" s="2178" t="n"/>
      <c r="AD26" s="2178" t="n"/>
      <c r="AE26" s="2178" t="n"/>
      <c r="AF26" s="2178" t="n"/>
      <c r="AG26" s="2178" t="n"/>
      <c r="AH26" s="2178" t="n"/>
      <c r="AI26" s="2178" t="n"/>
      <c r="AJ26" s="2178" t="n"/>
      <c r="AK26" s="2178" t="n"/>
      <c r="AL26" s="1958" t="inlineStr">
        <is>
          <t>Fuel levy</t>
        </is>
      </c>
      <c r="AM26" s="2178" t="n">
        <v>0.6298</v>
      </c>
      <c r="AN26" s="2108" t="n">
        <v>1.516988</v>
      </c>
      <c r="AO26" s="2109" t="inlineStr">
        <is>
          <t>tCO2e/t</t>
        </is>
      </c>
      <c r="AP26" s="1698" t="inlineStr">
        <is>
          <t>INR</t>
        </is>
      </c>
      <c r="AQ26" s="2113" t="n">
        <v>72.11</v>
      </c>
      <c r="AR26" s="1796" t="inlineStr">
        <is>
          <t>INR/t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Cement Bubble</t>
        </is>
      </c>
      <c r="E27" s="1959" t="inlineStr">
        <is>
          <t>Cement clinker</t>
        </is>
      </c>
      <c r="F27" s="2179" t="inlineStr">
        <is>
          <t>25233000</t>
        </is>
      </c>
      <c r="G27" s="1449" t="inlineStr">
        <is>
          <t>Aluminous cement</t>
        </is>
      </c>
      <c r="H27" s="1449" t="inlineStr">
        <is>
          <t>Example product B (batch 28)</t>
        </is>
      </c>
      <c r="I27" s="2180" t="n">
        <v>0.983886</v>
      </c>
      <c r="J27" s="2180" t="n">
        <v>0.099148</v>
      </c>
      <c r="K27" s="2180" t="n">
        <v>1.083034</v>
      </c>
      <c r="L27" s="2180" t="inlineStr">
        <is>
          <t>tCO2e/t</t>
        </is>
      </c>
      <c r="M27" s="2181" t="n">
        <v>0.1254</v>
      </c>
      <c r="N27" s="2180" t="inlineStr">
        <is>
          <t>D.4(c)</t>
        </is>
      </c>
      <c r="O27" s="2180" t="n">
        <v>1.93534</v>
      </c>
      <c r="P27" s="1704" t="n"/>
      <c r="Q27" s="1704" t="n"/>
      <c r="R27" s="2182" t="n"/>
      <c r="S27" s="2182" t="n"/>
      <c r="T27" s="2182" t="n"/>
      <c r="U27" s="2182" t="n"/>
      <c r="V27" s="2182" t="n"/>
      <c r="W27" s="2182" t="n"/>
      <c r="X27" s="2182" t="n"/>
      <c r="Y27" s="2182" t="n"/>
      <c r="Z27" s="2182" t="n"/>
      <c r="AA27" s="2182" t="n"/>
      <c r="AB27" s="2182" t="n">
        <v>0.7295</v>
      </c>
      <c r="AC27" s="2182" t="n"/>
      <c r="AD27" s="2182" t="n"/>
      <c r="AE27" s="2182" t="n"/>
      <c r="AF27" s="2182" t="n"/>
      <c r="AG27" s="2182" t="n"/>
      <c r="AH27" s="2182" t="n"/>
      <c r="AI27" s="2182" t="n"/>
      <c r="AJ27" s="2182" t="n"/>
      <c r="AK27" s="2182" t="n"/>
      <c r="AL27" s="1959" t="inlineStr">
        <is>
          <t>Fuel levy</t>
        </is>
      </c>
      <c r="AM27" s="2182" t="n">
        <v>0.9365</v>
      </c>
      <c r="AN27" s="2125" t="n">
        <v>1.039622</v>
      </c>
      <c r="AO27" s="2126" t="inlineStr">
        <is>
          <t>tCO2e/t</t>
        </is>
      </c>
      <c r="AP27" s="1704" t="inlineStr">
        <is>
          <t>INR</t>
        </is>
      </c>
      <c r="AQ27" s="2130" t="n">
        <v>97.09999999999999</v>
      </c>
      <c r="AR27" s="2126" t="inlineStr">
        <is>
          <t>INR/t</t>
        </is>
      </c>
      <c r="AS27" s="1959" t="inlineStr">
        <is>
          <t>Sector-specific reduction</t>
        </is>
      </c>
      <c r="AT27" s="2182" t="n">
        <v>0.376</v>
      </c>
      <c r="AU27" s="2125" t="n">
        <v>0.149064</v>
      </c>
      <c r="AV27" s="2126" t="inlineStr">
        <is>
          <t>tCO2e/t</t>
        </is>
      </c>
      <c r="AW27" s="2130" t="n">
        <v>43.96</v>
      </c>
      <c r="AX27" s="2126" t="inlineStr">
        <is>
          <t>INR/t</t>
        </is>
      </c>
      <c r="AY27" s="2130" t="n">
        <v>53.14</v>
      </c>
      <c r="AZ27" s="2131" t="inlineStr">
        <is>
          <t>INR/t</t>
        </is>
      </c>
      <c r="BC27" s="1361" t="n"/>
      <c r="BD27" s="1361" t="n"/>
      <c r="BE27" s="1361" t="n"/>
      <c r="BF27" s="1361" t="n"/>
    </row>
    <row r="28" ht="12.75" customHeight="1" s="1230">
      <c r="B28" s="2076" t="n"/>
      <c r="C28" s="2174" t="n">
        <v>3</v>
      </c>
      <c r="D28" s="1449" t="inlineStr">
        <is>
          <t>Cement Bubble</t>
        </is>
      </c>
      <c r="E28" s="1959" t="inlineStr">
        <is>
          <t>Cement</t>
        </is>
      </c>
      <c r="F28" s="2179" t="inlineStr">
        <is>
          <t>25239000</t>
        </is>
      </c>
      <c r="G28" s="1449" t="inlineStr">
        <is>
          <t>Other hydraulic cements</t>
        </is>
      </c>
      <c r="H28" s="1449" t="inlineStr">
        <is>
          <t>Example product C (batch 28)</t>
        </is>
      </c>
      <c r="I28" s="2180" t="n">
        <v>0.139161</v>
      </c>
      <c r="J28" s="2180" t="n">
        <v>0.489892</v>
      </c>
      <c r="K28" s="2180" t="n">
        <v>0.629053</v>
      </c>
      <c r="L28" s="2180" t="inlineStr">
        <is>
          <t>tCO2e/t</t>
        </is>
      </c>
      <c r="M28" s="2181" t="n">
        <v>0.0547</v>
      </c>
      <c r="N28" s="2180" t="inlineStr">
        <is>
          <t>D.4(b)</t>
        </is>
      </c>
      <c r="O28" s="2180" t="n">
        <v>1.2937</v>
      </c>
      <c r="P28" s="1704" t="n"/>
      <c r="Q28" s="1704" t="n"/>
      <c r="R28" s="2182" t="n"/>
      <c r="S28" s="2182" t="n"/>
      <c r="T28" s="2182" t="n"/>
      <c r="U28" s="2182" t="n"/>
      <c r="V28" s="2182" t="n"/>
      <c r="W28" s="2182" t="n"/>
      <c r="X28" s="2182" t="n"/>
      <c r="Y28" s="2182" t="n"/>
      <c r="Z28" s="2182" t="n"/>
      <c r="AA28" s="2182" t="n"/>
      <c r="AB28" s="2182" t="n">
        <v>0.7423</v>
      </c>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v>4</v>
      </c>
      <c r="D29" s="1449" t="inlineStr">
        <is>
          <t>Cement Bubble</t>
        </is>
      </c>
      <c r="E29" s="1959" t="inlineStr">
        <is>
          <t>Cement clinker</t>
        </is>
      </c>
      <c r="F29" s="2179" t="inlineStr">
        <is>
          <t>25232900</t>
        </is>
      </c>
      <c r="G29" s="1449" t="inlineStr">
        <is>
          <t>Portland cement (excl. white, whether or not artificially coloured)</t>
        </is>
      </c>
      <c r="H29" s="1449" t="inlineStr">
        <is>
          <t>Example product D (batch 28)</t>
        </is>
      </c>
      <c r="I29" s="2180" t="n">
        <v>0.22532</v>
      </c>
      <c r="J29" s="2180" t="n">
        <v>0.415357</v>
      </c>
      <c r="K29" s="2180" t="n">
        <v>0.6406770000000001</v>
      </c>
      <c r="L29" s="2180" t="inlineStr">
        <is>
          <t>tCO2e/t</t>
        </is>
      </c>
      <c r="M29" s="2181" t="n">
        <v>0.1593</v>
      </c>
      <c r="N29" s="2180" t="inlineStr">
        <is>
          <t>D.4(b)</t>
        </is>
      </c>
      <c r="O29" s="2180" t="n">
        <v>1.26971</v>
      </c>
      <c r="P29" s="1704" t="n"/>
      <c r="Q29" s="1704" t="n"/>
      <c r="R29" s="2182" t="n"/>
      <c r="S29" s="2182" t="n"/>
      <c r="T29" s="2182" t="n"/>
      <c r="U29" s="2182" t="n"/>
      <c r="V29" s="2182" t="n"/>
      <c r="W29" s="2182" t="n"/>
      <c r="X29" s="2182" t="n"/>
      <c r="Y29" s="2182" t="n"/>
      <c r="Z29" s="2182" t="n"/>
      <c r="AA29" s="2182" t="n"/>
      <c r="AB29" s="2182" t="n">
        <v>0.8512999999999999</v>
      </c>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Cement Bubble</t>
        </is>
      </c>
      <c r="E30" s="1959" t="inlineStr">
        <is>
          <t>Cement clinker</t>
        </is>
      </c>
      <c r="F30" s="2179" t="inlineStr">
        <is>
          <t>25231000</t>
        </is>
      </c>
      <c r="G30" s="1449" t="inlineStr">
        <is>
          <t>Cement clinkers</t>
        </is>
      </c>
      <c r="H30" s="1449" t="inlineStr">
        <is>
          <t>Example product E (batch 28)</t>
        </is>
      </c>
      <c r="I30" s="2180" t="n">
        <v>2.046806</v>
      </c>
      <c r="J30" s="2180" t="n">
        <v>0.101122</v>
      </c>
      <c r="K30" s="2180" t="n">
        <v>2.147928</v>
      </c>
      <c r="L30" s="2180" t="inlineStr">
        <is>
          <t>tCO2e/t</t>
        </is>
      </c>
      <c r="M30" s="2181" t="n">
        <v>0.2074</v>
      </c>
      <c r="N30" s="2180" t="inlineStr">
        <is>
          <t>PPA-specific factor</t>
        </is>
      </c>
      <c r="O30" s="2180" t="n">
        <v>0.69276</v>
      </c>
      <c r="P30" s="1704" t="n"/>
      <c r="Q30" s="1704" t="n"/>
      <c r="R30" s="2182" t="n"/>
      <c r="S30" s="2182" t="n"/>
      <c r="T30" s="2182" t="n"/>
      <c r="U30" s="2182" t="n"/>
      <c r="V30" s="2182" t="n"/>
      <c r="W30" s="2182" t="n"/>
      <c r="X30" s="2182" t="n"/>
      <c r="Y30" s="2182" t="n"/>
      <c r="Z30" s="2182" t="n"/>
      <c r="AA30" s="2182" t="n"/>
      <c r="AB30" s="2182" t="n">
        <v>0.7212</v>
      </c>
      <c r="AC30" s="2182" t="n"/>
      <c r="AD30" s="2182" t="n"/>
      <c r="AE30" s="2182" t="n"/>
      <c r="AF30" s="2182" t="n"/>
      <c r="AG30" s="2182" t="n"/>
      <c r="AH30" s="2182" t="n"/>
      <c r="AI30" s="2182" t="n"/>
      <c r="AJ30" s="2182" t="n"/>
      <c r="AK30" s="2182" t="n"/>
      <c r="AL30" s="1959" t="inlineStr">
        <is>
          <t>Fuel levy</t>
        </is>
      </c>
      <c r="AM30" s="2182" t="n">
        <v>0.7899</v>
      </c>
      <c r="AN30" s="2125" t="n">
        <v>0.183516</v>
      </c>
      <c r="AO30" s="2126" t="inlineStr">
        <is>
          <t>tCO2e/t</t>
        </is>
      </c>
      <c r="AP30" s="1704" t="inlineStr">
        <is>
          <t>INR</t>
        </is>
      </c>
      <c r="AQ30" s="2130" t="n">
        <v>23.36</v>
      </c>
      <c r="AR30" s="2126" t="inlineStr">
        <is>
          <t>INR/t</t>
        </is>
      </c>
      <c r="AS30" s="1959" t="inlineStr">
        <is>
          <t>Partial exemption</t>
        </is>
      </c>
      <c r="AT30" s="2182" t="n">
        <v>0.325</v>
      </c>
      <c r="AU30" s="2125" t="n">
        <v>0.123108</v>
      </c>
      <c r="AV30" s="2126" t="inlineStr">
        <is>
          <t>tCO2e/t</t>
        </is>
      </c>
      <c r="AW30" s="2130" t="n">
        <v>13.97</v>
      </c>
      <c r="AX30" s="2126" t="inlineStr">
        <is>
          <t>INR/t</t>
        </is>
      </c>
      <c r="AY30" s="2130" t="n">
        <v>9.390000000000001</v>
      </c>
      <c r="AZ30" s="2131" t="inlineStr">
        <is>
          <t>INR/t</t>
        </is>
      </c>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2026-09-13T17:35:34Z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