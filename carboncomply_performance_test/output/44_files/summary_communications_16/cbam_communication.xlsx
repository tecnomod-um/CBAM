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44562</v>
      </c>
      <c r="J9" s="1211" t="n"/>
      <c r="K9" s="176">
        <f>Translations!$B$69</f>
        <v/>
      </c>
      <c r="L9" s="1068" t="n">
        <v>44926</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Ulsan Steel Plant 22</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Ulsan Steel Plant 22</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Steel Way, 20</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Blast furnace operation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305293</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ROC</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Ulsan</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South Korea</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KRRIV</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-24.1625416°</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163.199359°</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Maria Tanaka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maria.tanaka@example-steel.com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+2 865617976</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Ulsan Steel Plant 22</t>
        </is>
      </c>
      <c r="H12" s="816" t="inlineStr">
        <is>
          <t>G1</t>
        </is>
      </c>
      <c r="I12" s="643" t="inlineStr">
        <is>
          <t>Pig iron</t>
        </is>
      </c>
      <c r="J12" s="1087" t="n"/>
      <c r="K12" s="1087" t="n"/>
      <c r="L12" s="1087" t="n"/>
      <c r="M12" s="1087" t="n"/>
      <c r="N12" s="1087" t="n"/>
      <c r="O12" s="1087" t="n"/>
      <c r="P12" s="817" t="inlineStr">
        <is>
          <t>P1</t>
        </is>
      </c>
      <c r="Q12" s="643" t="inlineStr">
        <is>
          <t>Blast furnace route</t>
        </is>
      </c>
      <c r="R12" s="643" t="inlineStr">
        <is>
          <t>DRI</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Steel Way, 20</t>
        </is>
      </c>
      <c r="H13" s="816" t="inlineStr">
        <is>
          <t>G2</t>
        </is>
      </c>
      <c r="I13" s="644" t="inlineStr">
        <is>
          <t>DRI</t>
        </is>
      </c>
      <c r="J13" s="1089">
        <f>IF(Summary_Processes!G22="","",INDEX(Translations!$C:$C,MATCH(Summary_Processes!G22,Translations!$B:$B,0)))</f>
        <v/>
      </c>
      <c r="K13" s="1089">
        <f>IF(Summary_Processes!H22="","",INDEX(Translations!$C:$C,MATCH(Summary_Processes!H22,Translations!$B:$B,0)))</f>
        <v/>
      </c>
      <c r="L13" s="1089">
        <f>IF(Summary_Processes!I22="","",INDEX(Translations!$C:$C,MATCH(Summary_Processes!I22,Translations!$B:$B,0)))</f>
        <v/>
      </c>
      <c r="M13" s="1089">
        <f>IF(Summary_Processes!J22="","",INDEX(Translations!$C:$C,MATCH(Summary_Processes!J22,Translations!$B:$B,0)))</f>
        <v/>
      </c>
      <c r="N13" s="1089">
        <f>IF(Summary_Processes!K22="","",INDEX(Translations!$C:$C,MATCH(Summary_Processes!K22,Translations!$B:$B,0)))</f>
        <v/>
      </c>
      <c r="O13" s="1089">
        <f>IF(Summary_Processes!L22="","",INDEX(Translations!$C:$C,MATCH(Summary_Processes!L22,Translations!$B:$B,0)))</f>
        <v/>
      </c>
      <c r="P13" s="817" t="inlineStr">
        <is>
          <t>P2</t>
        </is>
      </c>
      <c r="Q13" s="644" t="inlineStr">
        <is>
          <t>Sintering</t>
        </is>
      </c>
      <c r="R13" s="644" t="inlineStr">
        <is>
          <t>Pig iron</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1861458.655</v>
      </c>
      <c r="AA13" s="1203" t="n"/>
      <c r="AB13" s="1191" t="n">
        <v>44268.695</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Blast furnace operation</t>
        </is>
      </c>
      <c r="H14" s="816" t="inlineStr">
        <is>
          <t>G3</t>
        </is>
      </c>
      <c r="I14" s="644" t="inlineStr">
        <is>
          <t>Sintered ore</t>
        </is>
      </c>
      <c r="J14" s="1089">
        <f>IF(Summary_Processes!G23="","",INDEX(Translations!$C:$C,MATCH(Summary_Processes!G23,Translations!$B:$B,0)))</f>
        <v/>
      </c>
      <c r="K14" s="1089">
        <f>IF(Summary_Processes!H23="","",INDEX(Translations!$C:$C,MATCH(Summary_Processes!H23,Translations!$B:$B,0)))</f>
        <v/>
      </c>
      <c r="L14" s="1089">
        <f>IF(Summary_Processes!I23="","",INDEX(Translations!$C:$C,MATCH(Summary_Processes!I23,Translations!$B:$B,0)))</f>
        <v/>
      </c>
      <c r="M14" s="1089">
        <f>IF(Summary_Processes!J23="","",INDEX(Translations!$C:$C,MATCH(Summary_Processes!J23,Translations!$B:$B,0)))</f>
        <v/>
      </c>
      <c r="N14" s="1089">
        <f>IF(Summary_Processes!K23="","",INDEX(Translations!$C:$C,MATCH(Summary_Processes!K23,Translations!$B:$B,0)))</f>
        <v/>
      </c>
      <c r="O14" s="1089">
        <f>IF(Summary_Processes!L23="","",INDEX(Translations!$C:$C,MATCH(Summary_Processes!L23,Translations!$B:$B,0)))</f>
        <v/>
      </c>
      <c r="P14" s="817" t="inlineStr">
        <is>
          <t>P3</t>
        </is>
      </c>
      <c r="Q14" s="644" t="inlineStr">
        <is>
          <t>Other process</t>
        </is>
      </c>
      <c r="R14" s="644" t="inlineStr">
        <is>
          <t>Crude steel</t>
        </is>
      </c>
      <c r="S14" s="1089">
        <f>IF(Summary_Processes!G35="","",INDEX(Translations!$C:$C,MATCH(Summary_Processes!G35,Translations!$B:$B,0)))</f>
        <v/>
      </c>
      <c r="T14" s="1089">
        <f>IF(Summary_Processes!H35="","",INDEX(Translations!$C:$C,MATCH(Summary_Processes!H35,Translations!$B:$B,0)))</f>
        <v/>
      </c>
      <c r="U14" s="1089">
        <f>IF(Summary_Processes!I35="","",INDEX(Translations!$C:$C,MATCH(Summary_Processes!I35,Translations!$B:$B,0)))</f>
        <v/>
      </c>
      <c r="V14" s="1089">
        <f>IF(Summary_Processes!J35="","",INDEX(Translations!$C:$C,MATCH(Summary_Processes!J35,Translations!$B:$B,0)))</f>
        <v/>
      </c>
      <c r="W14" s="1089">
        <f>IF(Summary_Processes!K35="","",INDEX(Translations!$C:$C,MATCH(Summary_Processes!K35,Translations!$B:$B,0)))</f>
        <v/>
      </c>
      <c r="X14" s="1089">
        <f>IF(Summary_Processes!L35="","",INDEX(Translations!$C:$C,MATCH(Summary_Processes!L35,Translations!$B:$B,0)))</f>
        <v/>
      </c>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1861458.655</v>
      </c>
      <c r="AY15" s="242" t="n"/>
      <c r="AZ15" s="242" t="n"/>
      <c r="BA15" s="242" t="n"/>
      <c r="BB15" s="138" t="n"/>
      <c r="BC15" s="140" t="n"/>
      <c r="BD15" s="737" t="n"/>
      <c r="BE15" s="737" t="n"/>
      <c r="BF15" s="737" t="n"/>
    </row>
    <row r="16" ht="12.75" customHeight="1">
      <c r="C16" s="16" t="n"/>
      <c r="D16" s="167">
        <f>Translations!$C$80</f>
        <v/>
      </c>
      <c r="E16" s="167" t="n"/>
      <c r="F16" s="819" t="n"/>
      <c r="G16" s="644" t="inlineStr">
        <is>
          <t>KR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1276672.44</v>
      </c>
      <c r="AY16" s="242" t="n"/>
      <c r="AZ16" s="242" t="n"/>
      <c r="BA16" s="242" t="n"/>
      <c r="BB16" s="138" t="n"/>
      <c r="BC16" s="140" t="n"/>
      <c r="BD16" s="737" t="n"/>
      <c r="BE16" s="737" t="n"/>
      <c r="BF16" s="737" t="n"/>
    </row>
    <row r="17" ht="12.75" customHeight="1">
      <c r="C17" s="16" t="n"/>
      <c r="D17" s="167">
        <f>Translations!$C$81</f>
        <v/>
      </c>
      <c r="E17" s="167" t="n"/>
      <c r="F17" s="819" t="n"/>
      <c r="G17" s="644" t="inlineStr">
        <is>
          <t>KRRIV</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3138131.095</v>
      </c>
      <c r="AY17" s="242" t="n"/>
      <c r="AZ17" s="242" t="n"/>
      <c r="BA17" s="242" t="n"/>
      <c r="BB17" s="138" t="n"/>
      <c r="BC17" s="140" t="n"/>
      <c r="BD17" s="737" t="n"/>
      <c r="BE17" s="737" t="n"/>
      <c r="BF17" s="737" t="n"/>
    </row>
    <row r="18" ht="12.75" customHeight="1">
      <c r="C18" s="16" t="n"/>
      <c r="D18" s="167">
        <f>Translations!$C$82</f>
        <v/>
      </c>
      <c r="E18" s="167" t="n"/>
      <c r="F18" s="819" t="n"/>
      <c r="G18" s="644" t="inlineStr">
        <is>
          <t>-24.1625416°</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163.199359°</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44562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inlineStr">
        <is>
          <t>Default values used for indirect emissions only</t>
        </is>
      </c>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44926</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Blast furnace route</t>
        </is>
      </c>
      <c r="E26" s="643" t="inlineStr">
        <is>
          <t>Crude steel</t>
        </is>
      </c>
      <c r="F26" s="835" t="inlineStr">
        <is>
          <t>73181900</t>
        </is>
      </c>
      <c r="G26" s="1087" t="inlineStr">
        <is>
          <t>Threaded articles of iron or steel, other than screws, bolts, nuts and coach screws</t>
        </is>
      </c>
      <c r="H26" s="1087" t="inlineStr">
        <is>
          <t>Example product A (batch 22)</t>
        </is>
      </c>
      <c r="I26" s="1309" t="n">
        <v>0.96315</v>
      </c>
      <c r="J26" s="1309" t="n">
        <v>0.168176</v>
      </c>
      <c r="K26" s="1309" t="n">
        <v>1.131326</v>
      </c>
      <c r="L26" s="1309" t="inlineStr">
        <is>
          <t>tCO2e/t</t>
        </is>
      </c>
      <c r="M26" s="837" t="n">
        <v>0.2995</v>
      </c>
      <c r="N26" s="1309" t="inlineStr">
        <is>
          <t>D.4(b)</t>
        </is>
      </c>
      <c r="O26" s="1309" t="n">
        <v>0.73639</v>
      </c>
      <c r="P26" s="421" t="n"/>
      <c r="Q26" s="421" t="inlineStr">
        <is>
          <t>602628</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Emissions Trading System</t>
        </is>
      </c>
      <c r="AM26" s="838" t="n">
        <v>0.9237</v>
      </c>
      <c r="AN26" s="1304" t="n">
        <v>0.54144</v>
      </c>
      <c r="AO26" s="1305" t="inlineStr">
        <is>
          <t>tCO2e/t</t>
        </is>
      </c>
      <c r="AP26" s="421" t="inlineStr">
        <is>
          <t>EGP</t>
        </is>
      </c>
      <c r="AQ26" s="775" t="n">
        <v>78.69</v>
      </c>
      <c r="AR26" s="501" t="inlineStr">
        <is>
          <t>EGP/t</t>
        </is>
      </c>
      <c r="AS26" s="643" t="n"/>
      <c r="AT26" s="838" t="n"/>
      <c r="AU26" s="1304" t="n"/>
      <c r="AV26" s="1305" t="n"/>
      <c r="AW26" s="775" t="n"/>
      <c r="AX26" s="501" t="n"/>
      <c r="AY26" s="775" t="n"/>
      <c r="AZ26" s="776" t="n"/>
      <c r="BC26" s="140" t="n"/>
      <c r="BD26" s="140" t="n"/>
      <c r="BE26" s="140" t="n"/>
      <c r="BF26" s="140" t="n"/>
    </row>
    <row r="27" ht="12.75" customHeight="1">
      <c r="B27" s="738" t="n"/>
      <c r="C27" s="834" t="n">
        <v>2</v>
      </c>
      <c r="D27" s="1089" t="inlineStr">
        <is>
          <t>Other process</t>
        </is>
      </c>
      <c r="E27" s="644" t="inlineStr">
        <is>
          <t>Sintered ore</t>
        </is>
      </c>
      <c r="F27" s="839" t="inlineStr">
        <is>
          <t>72031000</t>
        </is>
      </c>
      <c r="G27" s="1089" t="inlineStr">
        <is>
          <t>Ferrous products obtained by direct reduction of iron ore</t>
        </is>
      </c>
      <c r="H27" s="1089" t="inlineStr">
        <is>
          <t>Example product B (batch 22)</t>
        </is>
      </c>
      <c r="I27" s="1310" t="n">
        <v>0.231112</v>
      </c>
      <c r="J27" s="1310" t="n">
        <v>0.251323</v>
      </c>
      <c r="K27" s="1310" t="n">
        <v>0.482435</v>
      </c>
      <c r="L27" s="1310" t="inlineStr">
        <is>
          <t>tCO2e/t</t>
        </is>
      </c>
      <c r="M27" s="841" t="n">
        <v>0.0706</v>
      </c>
      <c r="N27" s="1310" t="inlineStr">
        <is>
          <t>Grid average factor</t>
        </is>
      </c>
      <c r="O27" s="1310" t="n">
        <v>0.24172</v>
      </c>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inlineStr">
        <is>
          <t>Carbon tax and ETS</t>
        </is>
      </c>
      <c r="AM27" s="842" t="n">
        <v>0.5867</v>
      </c>
      <c r="AN27" s="1306" t="n">
        <v>0.122861</v>
      </c>
      <c r="AO27" s="788" t="inlineStr">
        <is>
          <t>tCO2e/t</t>
        </is>
      </c>
      <c r="AP27" s="427" t="inlineStr">
        <is>
          <t>EGP</t>
        </is>
      </c>
      <c r="AQ27" s="792" t="n">
        <v>87.06</v>
      </c>
      <c r="AR27" s="788" t="inlineStr">
        <is>
          <t>EGP/t</t>
        </is>
      </c>
      <c r="AS27" s="644" t="n"/>
      <c r="AT27" s="842" t="n"/>
      <c r="AU27" s="1306" t="n"/>
      <c r="AV27" s="788" t="n"/>
      <c r="AW27" s="792" t="n"/>
      <c r="AX27" s="788" t="n"/>
      <c r="AY27" s="792" t="n"/>
      <c r="AZ27" s="793" t="n"/>
      <c r="BC27" s="140" t="n"/>
      <c r="BD27" s="140" t="n"/>
      <c r="BE27" s="140" t="n"/>
      <c r="BF27" s="140" t="n"/>
    </row>
    <row r="28" ht="12.75" customHeight="1">
      <c r="B28" s="738" t="n"/>
      <c r="C28" s="834" t="n">
        <v>3</v>
      </c>
      <c r="D28" s="1089" t="inlineStr">
        <is>
          <t>Sintering</t>
        </is>
      </c>
      <c r="E28" s="644" t="inlineStr">
        <is>
          <t>DRI</t>
        </is>
      </c>
      <c r="F28" s="839" t="inlineStr">
        <is>
          <t>72081000</t>
        </is>
      </c>
      <c r="G28" s="1089" t="inlineStr">
        <is>
          <t>Flat-rolled products of iron or non-alloy steel, of a width of &gt;= 600 mm, in coils, simply hot-rolled</t>
        </is>
      </c>
      <c r="H28" s="1089" t="inlineStr">
        <is>
          <t>Example product C (batch 22)</t>
        </is>
      </c>
      <c r="I28" s="1310" t="n">
        <v>0.836064</v>
      </c>
      <c r="J28" s="1310" t="n">
        <v>0.218607</v>
      </c>
      <c r="K28" s="1310" t="n">
        <v>1.054671</v>
      </c>
      <c r="L28" s="1310" t="inlineStr">
        <is>
          <t>tCO2e/t</t>
        </is>
      </c>
      <c r="M28" s="841" t="n">
        <v>0.0449</v>
      </c>
      <c r="N28" s="1310" t="inlineStr">
        <is>
          <t>Grid average factor</t>
        </is>
      </c>
      <c r="O28" s="1310" t="n">
        <v>1.25655</v>
      </c>
      <c r="P28" s="427" t="n"/>
      <c r="Q28" s="427" t="inlineStr">
        <is>
          <t>901450</t>
        </is>
      </c>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inlineStr">
        <is>
          <t>Carbon tax and ETS</t>
        </is>
      </c>
      <c r="AM28" s="842" t="n">
        <v>0.826</v>
      </c>
      <c r="AN28" s="1306" t="n">
        <v>0.564433</v>
      </c>
      <c r="AO28" s="788" t="inlineStr">
        <is>
          <t>tCO2e/t</t>
        </is>
      </c>
      <c r="AP28" s="427" t="inlineStr">
        <is>
          <t>EGP</t>
        </is>
      </c>
      <c r="AQ28" s="792" t="n">
        <v>17.88</v>
      </c>
      <c r="AR28" s="788" t="inlineStr">
        <is>
          <t>EGP/t</t>
        </is>
      </c>
      <c r="AS28" s="644" t="n"/>
      <c r="AT28" s="842" t="n"/>
      <c r="AU28" s="1306" t="n"/>
      <c r="AV28" s="788" t="n"/>
      <c r="AW28" s="792" t="n"/>
      <c r="AX28" s="788" t="n"/>
      <c r="AY28" s="792" t="n"/>
      <c r="AZ28" s="793" t="n"/>
      <c r="BC28" s="140" t="n"/>
      <c r="BD28" s="140" t="n"/>
      <c r="BE28" s="140" t="n"/>
      <c r="BF28" s="140" t="n"/>
    </row>
    <row r="29" ht="12.75" customHeight="1">
      <c r="B29" s="738" t="n"/>
      <c r="C29" s="834" t="n">
        <v>4</v>
      </c>
      <c r="D29" s="1089" t="inlineStr">
        <is>
          <t>Other process</t>
        </is>
      </c>
      <c r="E29" s="644" t="inlineStr">
        <is>
          <t>Pig iron</t>
        </is>
      </c>
      <c r="F29" s="839" t="inlineStr">
        <is>
          <t>72122000</t>
        </is>
      </c>
      <c r="G29" s="1089" t="inlineStr">
        <is>
          <t>Flat-rolled products of iron or non-alloy steel, of a width of &lt; 600 mm, electrolytically plated or coated with zinc</t>
        </is>
      </c>
      <c r="H29" s="1089" t="inlineStr">
        <is>
          <t>Example product D (batch 22)</t>
        </is>
      </c>
      <c r="I29" s="1310" t="n">
        <v>0.726738</v>
      </c>
      <c r="J29" s="1310" t="n">
        <v>0.104619</v>
      </c>
      <c r="K29" s="1310" t="n">
        <v>0.831357</v>
      </c>
      <c r="L29" s="1310" t="inlineStr">
        <is>
          <t>tCO2e/t</t>
        </is>
      </c>
      <c r="M29" s="841" t="n">
        <v>0.2971</v>
      </c>
      <c r="N29" s="1310" t="inlineStr">
        <is>
          <t>Grid average factor</t>
        </is>
      </c>
      <c r="O29" s="1310" t="n">
        <v>1.22103</v>
      </c>
      <c r="P29" s="427" t="n"/>
      <c r="Q29" s="427" t="inlineStr">
        <is>
          <t>495662</t>
        </is>
      </c>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inlineStr">
        <is>
          <t>Emissions Trading System</t>
        </is>
      </c>
      <c r="AM29" s="842" t="n">
        <v>0.3229</v>
      </c>
      <c r="AN29" s="1306" t="n">
        <v>0.593161</v>
      </c>
      <c r="AO29" s="788" t="inlineStr">
        <is>
          <t>tCO2e/t</t>
        </is>
      </c>
      <c r="AP29" s="427" t="inlineStr">
        <is>
          <t>EGP</t>
        </is>
      </c>
      <c r="AQ29" s="792" t="n">
        <v>46.99</v>
      </c>
      <c r="AR29" s="788" t="inlineStr">
        <is>
          <t>EGP/t</t>
        </is>
      </c>
      <c r="AS29" s="644" t="n"/>
      <c r="AT29" s="842" t="n"/>
      <c r="AU29" s="1306" t="n"/>
      <c r="AV29" s="788" t="n"/>
      <c r="AW29" s="792" t="n"/>
      <c r="AX29" s="788" t="n"/>
      <c r="AY29" s="792" t="n"/>
      <c r="AZ29" s="793" t="n"/>
      <c r="BC29" s="140" t="n"/>
      <c r="BD29" s="140" t="n"/>
      <c r="BE29" s="140" t="n"/>
      <c r="BF29" s="140" t="n"/>
    </row>
    <row r="30" ht="12.75" customHeight="1">
      <c r="B30" s="738" t="n"/>
      <c r="C30" s="834" t="n">
        <v>5</v>
      </c>
      <c r="D30" s="1089" t="inlineStr">
        <is>
          <t>Sintering</t>
        </is>
      </c>
      <c r="E30" s="644" t="inlineStr">
        <is>
          <t>DRI</t>
        </is>
      </c>
      <c r="F30" s="839" t="inlineStr">
        <is>
          <t>72071190</t>
        </is>
      </c>
      <c r="G30" s="1089" t="inlineStr">
        <is>
          <t>Semi-finished products of iron or non-alloy steel, containing &lt; 0,25% carbon, other than of rectangular cross-section</t>
        </is>
      </c>
      <c r="H30" s="1089" t="inlineStr">
        <is>
          <t>Example product E (batch 22)</t>
        </is>
      </c>
      <c r="I30" s="1310" t="n">
        <v>1.183937</v>
      </c>
      <c r="J30" s="1310" t="n">
        <v>0.14961</v>
      </c>
      <c r="K30" s="1310" t="n">
        <v>1.333547</v>
      </c>
      <c r="L30" s="1310" t="inlineStr">
        <is>
          <t>tCO2e/t</t>
        </is>
      </c>
      <c r="M30" s="841" t="n">
        <v>0.07539999999999999</v>
      </c>
      <c r="N30" s="1310" t="inlineStr">
        <is>
          <t>PPA-specific factor</t>
        </is>
      </c>
      <c r="O30" s="1310" t="n">
        <v>1.55508</v>
      </c>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inlineStr">
        <is>
          <t>Emissions Trading System</t>
        </is>
      </c>
      <c r="AM30" s="842" t="n">
        <v>0.6283</v>
      </c>
      <c r="AN30" s="1306" t="n">
        <v>1.124794</v>
      </c>
      <c r="AO30" s="788" t="inlineStr">
        <is>
          <t>tCO2e/t</t>
        </is>
      </c>
      <c r="AP30" s="427" t="inlineStr">
        <is>
          <t>EGP</t>
        </is>
      </c>
      <c r="AQ30" s="792" t="n">
        <v>14.05</v>
      </c>
      <c r="AR30" s="788" t="inlineStr">
        <is>
          <t>EGP/t</t>
        </is>
      </c>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2026-09-13T17:35:14Z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